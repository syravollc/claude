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Economics" sheetId="1" state="visible" r:id="rId1"/>
    <sheet name="Funnel" sheetId="2" state="visible" r:id="rId2"/>
    <sheet name="Income Targets" sheetId="3" state="visible" r:id="rId3"/>
    <sheet name="Test Log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-"/>
    <numFmt numFmtId="165" formatCode="0.0%;(0.0%);-"/>
    <numFmt numFmtId="166" formatCode="$#,##0;($#,##0);-"/>
    <numFmt numFmtId="167" formatCode="0.0"/>
    <numFmt numFmtId="168" formatCode="#,##0;(#,##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4" fontId="4" fillId="0" borderId="1" pivotButton="0" quotePrefix="0" xfId="0"/>
    <xf numFmtId="0" fontId="6" fillId="0" borderId="0" pivotButton="0" quotePrefix="0" xfId="0"/>
    <xf numFmtId="164" fontId="6" fillId="0" borderId="1" pivotButton="0" quotePrefix="0" xfId="0"/>
    <xf numFmtId="165" fontId="4" fillId="0" borderId="1" pivotButton="0" quotePrefix="0" xfId="0"/>
    <xf numFmtId="167" fontId="6" fillId="0" borderId="1" pivotButton="0" quotePrefix="0" xfId="0"/>
    <xf numFmtId="49" fontId="6" fillId="0" borderId="1" pivotButton="0" quotePrefix="0" xfId="0"/>
    <xf numFmtId="168" fontId="5" fillId="3" borderId="1" pivotButton="0" quotePrefix="0" xfId="0"/>
    <xf numFmtId="1" fontId="5" fillId="3" borderId="1" pivotButton="0" quotePrefix="0" xfId="0"/>
    <xf numFmtId="167" fontId="5" fillId="3" borderId="1" pivotButton="0" quotePrefix="0" xfId="0"/>
    <xf numFmtId="168" fontId="4" fillId="0" borderId="1" pivotButton="0" quotePrefix="0" xfId="0"/>
    <xf numFmtId="167" fontId="4" fillId="0" borderId="1" pivotButton="0" quotePrefix="0" xfId="0"/>
    <xf numFmtId="166" fontId="4" fillId="0" borderId="1" pivotButton="0" quotePrefix="0" xfId="0"/>
    <xf numFmtId="166" fontId="6" fillId="0" borderId="1" pivotButton="0" quotePrefix="0" xfId="0"/>
    <xf numFmtId="49" fontId="4" fillId="0" borderId="1" pivotButton="0" quotePrefix="0" xfId="0"/>
    <xf numFmtId="0" fontId="6" fillId="0" borderId="1" pivotButton="0" quotePrefix="0" xfId="0"/>
    <xf numFmtId="0" fontId="3" fillId="2" borderId="0" applyAlignment="1" pivotButton="0" quotePrefix="0" xfId="0">
      <alignment horizontal="center" wrapText="1"/>
    </xf>
    <xf numFmtId="0" fontId="5" fillId="3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007A33"/>
      </font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60" customWidth="1" min="3" max="3"/>
  </cols>
  <sheetData>
    <row r="1">
      <c r="A1" s="1" t="inlineStr">
        <is>
          <t>Digital product: unit economics</t>
        </is>
      </c>
    </row>
    <row r="2">
      <c r="A2" s="2" t="inlineStr">
        <is>
          <t>Blue cells on yellow are inputs. Everything else is a formula. Example values are placeholders, not research.</t>
        </is>
      </c>
    </row>
    <row r="4">
      <c r="A4" s="3" t="inlineStr">
        <is>
          <t>INPUTS: per sale</t>
        </is>
      </c>
      <c r="B4" s="4" t="n"/>
      <c r="C4" s="4" t="n"/>
    </row>
    <row r="5">
      <c r="A5" s="5" t="inlineStr">
        <is>
          <t>Price</t>
        </is>
      </c>
      <c r="B5" s="6" t="n">
        <v>19</v>
      </c>
      <c r="C5" s="2" t="inlineStr">
        <is>
          <t>Common range $15-25 for a bundle (seller blogs, unverified)</t>
        </is>
      </c>
    </row>
    <row r="6">
      <c r="A6" s="5" t="inlineStr">
        <is>
          <t>Platform fee, percent of price</t>
        </is>
      </c>
      <c r="B6" s="7" t="n">
        <v>0.1</v>
      </c>
      <c r="C6" s="2" t="inlineStr">
        <is>
          <t>ASSUMPTION: varies by platform (Gumroad, Etsy, Payhip...). Check yours</t>
        </is>
      </c>
    </row>
    <row r="7">
      <c r="A7" s="5" t="inlineStr">
        <is>
          <t>Payment fee, percent</t>
        </is>
      </c>
      <c r="B7" s="7" t="n">
        <v>0.029</v>
      </c>
      <c r="C7" s="2" t="inlineStr">
        <is>
          <t>Typical card rate; check your processor</t>
        </is>
      </c>
    </row>
    <row r="8">
      <c r="A8" s="5" t="inlineStr">
        <is>
          <t>Payment fee, fixed per sale</t>
        </is>
      </c>
      <c r="B8" s="6" t="n">
        <v>0.3</v>
      </c>
      <c r="C8" s="2" t="inlineStr">
        <is>
          <t>Typical; check your processor</t>
        </is>
      </c>
    </row>
    <row r="9">
      <c r="A9" s="5" t="inlineStr">
        <is>
          <t>Refund reserve, percent of price</t>
        </is>
      </c>
      <c r="B9" s="7" t="n">
        <v>0.05</v>
      </c>
      <c r="C9" s="2" t="inlineStr">
        <is>
          <t>ASSUMPTION; replace with actual rate</t>
        </is>
      </c>
    </row>
    <row r="10">
      <c r="A10" s="5" t="inlineStr">
        <is>
          <t>Other cost per sale (delivery, support time value)</t>
        </is>
      </c>
      <c r="B10" s="6" t="n">
        <v>0</v>
      </c>
      <c r="C10" s="2" t="inlineStr">
        <is>
          <t>Usually near zero for digital</t>
        </is>
      </c>
    </row>
    <row r="12">
      <c r="A12" s="3" t="inlineStr">
        <is>
          <t>INPUTS: fixed and paid-ad costs</t>
        </is>
      </c>
      <c r="B12" s="4" t="n"/>
      <c r="C12" s="4" t="n"/>
    </row>
    <row r="13">
      <c r="A13" s="5" t="inlineStr">
        <is>
          <t>Fixed costs for the test (domain, tools, store)</t>
        </is>
      </c>
      <c r="B13" s="8" t="n">
        <v>100</v>
      </c>
      <c r="C13" s="2" t="inlineStr">
        <is>
          <t>Plan cap</t>
        </is>
      </c>
    </row>
    <row r="14">
      <c r="A14" s="5" t="inlineStr">
        <is>
          <t>Paid-ad budget (only if Phase 3 is unlocked)</t>
        </is>
      </c>
      <c r="B14" s="8" t="n">
        <v>200</v>
      </c>
      <c r="C14" s="2" t="inlineStr">
        <is>
          <t>Plan cap; spend only after 10+ organic sales</t>
        </is>
      </c>
    </row>
    <row r="15">
      <c r="A15" s="5" t="inlineStr">
        <is>
          <t>Expected cost per click (CPC)</t>
        </is>
      </c>
      <c r="B15" s="6" t="n">
        <v>0.8</v>
      </c>
      <c r="C15" s="2" t="inlineStr">
        <is>
          <t>ASSUMPTION; no verified benchmark found</t>
        </is>
      </c>
    </row>
    <row r="16">
      <c r="A16" s="5" t="inlineStr">
        <is>
          <t>Click-to-purchase conversion, cold traffic</t>
        </is>
      </c>
      <c r="B16" s="7" t="n">
        <v>0.015</v>
      </c>
      <c r="C16" s="2" t="inlineStr">
        <is>
          <t>ASSUMPTION; cold traffic to a low-priced product is often low</t>
        </is>
      </c>
    </row>
    <row r="18">
      <c r="A18" s="3" t="inlineStr">
        <is>
          <t>OUTPUTS</t>
        </is>
      </c>
      <c r="B18" s="4" t="n"/>
      <c r="C18" s="4" t="n"/>
    </row>
    <row r="19">
      <c r="A19" s="5" t="inlineStr">
        <is>
          <t>Platform fee per sale</t>
        </is>
      </c>
      <c r="B19" s="9">
        <f>B5*B6</f>
        <v/>
      </c>
      <c r="C19" s="2" t="inlineStr"/>
    </row>
    <row r="20">
      <c r="A20" s="5" t="inlineStr">
        <is>
          <t>Payment fees per sale</t>
        </is>
      </c>
      <c r="B20" s="9">
        <f>B5*B7+B8</f>
        <v/>
      </c>
      <c r="C20" s="2" t="inlineStr"/>
    </row>
    <row r="21">
      <c r="A21" s="5" t="inlineStr">
        <is>
          <t>Refund reserve per sale</t>
        </is>
      </c>
      <c r="B21" s="9">
        <f>B5*B9</f>
        <v/>
      </c>
      <c r="C21" s="2" t="inlineStr"/>
    </row>
    <row r="22">
      <c r="A22" s="10" t="inlineStr">
        <is>
          <t>Net contribution per sale (M)</t>
        </is>
      </c>
      <c r="B22" s="11">
        <f>B5-B19-B20-B21-B10</f>
        <v/>
      </c>
      <c r="C22" s="2" t="inlineStr">
        <is>
          <t>Break-even cost per sale</t>
        </is>
      </c>
    </row>
    <row r="23">
      <c r="A23" s="5" t="inlineStr">
        <is>
          <t>Net margin %</t>
        </is>
      </c>
      <c r="B23" s="12">
        <f>IF(B5&gt;0,B22/B5,0)</f>
        <v/>
      </c>
      <c r="C23" s="2" t="inlineStr"/>
    </row>
    <row r="24">
      <c r="A24" s="10" t="inlineStr">
        <is>
          <t>Sales needed to cover fixed costs</t>
        </is>
      </c>
      <c r="B24" s="13">
        <f>IF(B22&gt;0,B13/B22,0)</f>
        <v/>
      </c>
      <c r="C24" s="2" t="inlineStr"/>
    </row>
    <row r="25">
      <c r="A25" s="5" t="inlineStr">
        <is>
          <t>Max cost per sale for breakeven (CPA = M)</t>
        </is>
      </c>
      <c r="B25" s="9">
        <f>B22</f>
        <v/>
      </c>
      <c r="C25" s="2" t="inlineStr"/>
    </row>
    <row r="26">
      <c r="A26" s="5" t="inlineStr">
        <is>
          <t>Max cost per sale to count as a pass (0.7 x M)</t>
        </is>
      </c>
      <c r="B26" s="9">
        <f>0.7*B22</f>
        <v/>
      </c>
      <c r="C26" s="2" t="inlineStr"/>
    </row>
    <row r="27">
      <c r="A27" s="10" t="inlineStr">
        <is>
          <t>Expected cold-ad cost per sale (CPC / conversion)</t>
        </is>
      </c>
      <c r="B27" s="11">
        <f>IF(B16&gt;0,B15/B16,0)</f>
        <v/>
      </c>
      <c r="C27" s="2" t="inlineStr"/>
    </row>
    <row r="28">
      <c r="A28" s="10" t="inlineStr">
        <is>
          <t>Cold ads viable at these inputs?</t>
        </is>
      </c>
      <c r="B28" s="14">
        <f>IF(B27&lt;=B26,"YES","NO: use organic / warm audiences only")</f>
        <v/>
      </c>
      <c r="C28" s="2" t="inlineStr">
        <is>
          <t>Plan rule: ads need cost per sale at or below 0.7 x M</t>
        </is>
      </c>
    </row>
    <row r="29">
      <c r="A29" s="5" t="inlineStr">
        <is>
          <t>Required conversion for ads to hit 0.7 x M</t>
        </is>
      </c>
      <c r="B29" s="12">
        <f>IF(B26&gt;0,B15/B26,0)</f>
        <v/>
      </c>
      <c r="C29" s="2" t="inlineStr"/>
    </row>
  </sheetData>
  <conditionalFormatting sqref="B28">
    <cfRule type="cellIs" priority="1" operator="equal" dxfId="0">
      <formula>"YES"</formula>
    </cfRule>
    <cfRule type="cellIs" priority="2" operator="notEqual" dxfId="1">
      <formula>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Content-first funnel scenarios (8 weeks)</t>
        </is>
      </c>
    </row>
    <row r="2">
      <c r="A2" s="2" t="inlineStr">
        <is>
          <t>Views -&gt; email signups -&gt; buyers. All rates are assumptions to be replaced by your real numbers.</t>
        </is>
      </c>
    </row>
    <row r="4">
      <c r="A4" s="3" t="inlineStr">
        <is>
          <t>Assumption</t>
        </is>
      </c>
      <c r="B4" s="3" t="inlineStr">
        <is>
          <t>Low</t>
        </is>
      </c>
      <c r="C4" s="3" t="inlineStr">
        <is>
          <t>Base</t>
        </is>
      </c>
      <c r="D4" s="3" t="inlineStr">
        <is>
          <t>High</t>
        </is>
      </c>
    </row>
    <row r="5">
      <c r="A5" s="5" t="inlineStr">
        <is>
          <t>Weekly content views</t>
        </is>
      </c>
      <c r="B5" s="15" t="n">
        <v>2000</v>
      </c>
      <c r="C5" s="15" t="n">
        <v>5000</v>
      </c>
      <c r="D5" s="15" t="n">
        <v>15000</v>
      </c>
    </row>
    <row r="6">
      <c r="A6" s="5" t="inlineStr">
        <is>
          <t>Weeks of posting before launch</t>
        </is>
      </c>
      <c r="B6" s="16" t="n">
        <v>4</v>
      </c>
      <c r="C6" s="16" t="n">
        <v>4</v>
      </c>
      <c r="D6" s="16" t="n">
        <v>4</v>
      </c>
    </row>
    <row r="7">
      <c r="A7" s="5" t="inlineStr">
        <is>
          <t>View-to-email-signup rate</t>
        </is>
      </c>
      <c r="B7" s="7" t="n">
        <v>0.005</v>
      </c>
      <c r="C7" s="7" t="n">
        <v>0.01</v>
      </c>
      <c r="D7" s="7" t="n">
        <v>0.02</v>
      </c>
    </row>
    <row r="8">
      <c r="A8" s="5" t="inlineStr">
        <is>
          <t>List-to-buyer rate at launch</t>
        </is>
      </c>
      <c r="B8" s="7" t="n">
        <v>0.02</v>
      </c>
      <c r="C8" s="7" t="n">
        <v>0.04</v>
      </c>
      <c r="D8" s="7" t="n">
        <v>0.08</v>
      </c>
    </row>
    <row r="9">
      <c r="A9" s="5" t="inlineStr">
        <is>
          <t>Weeks of sales after launch</t>
        </is>
      </c>
      <c r="B9" s="16" t="n">
        <v>4</v>
      </c>
      <c r="C9" s="16" t="n">
        <v>4</v>
      </c>
      <c r="D9" s="16" t="n">
        <v>4</v>
      </c>
    </row>
    <row r="10">
      <c r="A10" s="5" t="inlineStr">
        <is>
          <t>Ongoing weekly buyers per 1,000 list members</t>
        </is>
      </c>
      <c r="B10" s="17" t="n">
        <v>1</v>
      </c>
      <c r="C10" s="17" t="n">
        <v>2</v>
      </c>
      <c r="D10" s="17" t="n">
        <v>4</v>
      </c>
    </row>
    <row r="12">
      <c r="A12" s="3" t="inlineStr">
        <is>
          <t>Results</t>
        </is>
      </c>
      <c r="B12" s="4" t="n"/>
      <c r="C12" s="4" t="n"/>
      <c r="D12" s="4" t="n"/>
    </row>
    <row r="13">
      <c r="A13" s="5" t="inlineStr">
        <is>
          <t>Email list at launch</t>
        </is>
      </c>
      <c r="B13" s="18">
        <f>B5*B6*B7</f>
        <v/>
      </c>
      <c r="C13" s="18">
        <f>C5*C6*C7</f>
        <v/>
      </c>
      <c r="D13" s="18">
        <f>D5*D6*D7</f>
        <v/>
      </c>
    </row>
    <row r="14">
      <c r="A14" s="5" t="inlineStr">
        <is>
          <t>Launch buyers</t>
        </is>
      </c>
      <c r="B14" s="19">
        <f>B13*B8</f>
        <v/>
      </c>
      <c r="C14" s="19">
        <f>C13*C8</f>
        <v/>
      </c>
      <c r="D14" s="19">
        <f>D13*D8</f>
        <v/>
      </c>
    </row>
    <row r="15">
      <c r="A15" s="5" t="inlineStr">
        <is>
          <t>Ongoing buyers after launch</t>
        </is>
      </c>
      <c r="B15" s="19">
        <f>B13/1000*B10*B9</f>
        <v/>
      </c>
      <c r="C15" s="19">
        <f>C13/1000*C10*C9</f>
        <v/>
      </c>
      <c r="D15" s="19">
        <f>D13/1000*D10*D9</f>
        <v/>
      </c>
    </row>
    <row r="16">
      <c r="A16" s="10" t="inlineStr">
        <is>
          <t>Total buyers (8 weeks)</t>
        </is>
      </c>
      <c r="B16" s="13">
        <f>B14+B15</f>
        <v/>
      </c>
      <c r="C16" s="13">
        <f>C14+C15</f>
        <v/>
      </c>
      <c r="D16" s="13">
        <f>D14+D15</f>
        <v/>
      </c>
    </row>
    <row r="17">
      <c r="A17" s="5" t="inlineStr">
        <is>
          <t>Revenue</t>
        </is>
      </c>
      <c r="B17" s="20">
        <f>B16*'Unit Economics'!$B$5</f>
        <v/>
      </c>
      <c r="C17" s="20">
        <f>C16*'Unit Economics'!$B$5</f>
        <v/>
      </c>
      <c r="D17" s="20">
        <f>D16*'Unit Economics'!$B$5</f>
        <v/>
      </c>
    </row>
    <row r="18">
      <c r="A18" s="5" t="inlineStr">
        <is>
          <t>Net contribution (buyers x M)</t>
        </is>
      </c>
      <c r="B18" s="20">
        <f>B16*'Unit Economics'!$B$22</f>
        <v/>
      </c>
      <c r="C18" s="20">
        <f>C16*'Unit Economics'!$B$22</f>
        <v/>
      </c>
      <c r="D18" s="20">
        <f>D16*'Unit Economics'!$B$22</f>
        <v/>
      </c>
    </row>
    <row r="19">
      <c r="A19" s="10" t="inlineStr">
        <is>
          <t>Net after fixed costs</t>
        </is>
      </c>
      <c r="B19" s="21">
        <f>B18-'Unit Economics'!$B$13</f>
        <v/>
      </c>
      <c r="C19" s="21">
        <f>C18-'Unit Economics'!$B$13</f>
        <v/>
      </c>
      <c r="D19" s="21">
        <f>D18-'Unit Economics'!$B$13</f>
        <v/>
      </c>
    </row>
    <row r="20">
      <c r="A20" s="5" t="inlineStr">
        <is>
          <t>Meets plan PASS (30+ buyers, 200+ list)?</t>
        </is>
      </c>
      <c r="B20" s="22">
        <f>IF(AND(B16&gt;=30,B13&gt;=200),"YES","NO")</f>
        <v/>
      </c>
      <c r="C20" s="22">
        <f>IF(AND(C16&gt;=30,C13&gt;=200),"YES","NO")</f>
        <v/>
      </c>
      <c r="D20" s="22">
        <f>IF(AND(D16&gt;=30,D13&gt;=200),"YES","NO")</f>
        <v/>
      </c>
    </row>
    <row r="22">
      <c r="A22" s="2" t="inlineStr">
        <is>
          <t>Even the High case is only a guess. The point is to see which rate you most need to beat, then measure it in the first 4 weeks.</t>
        </is>
      </c>
    </row>
  </sheetData>
  <conditionalFormatting sqref="B20:D20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What a monthly income target needs</t>
        </is>
      </c>
    </row>
    <row r="2">
      <c r="A2" s="2" t="inlineStr">
        <is>
          <t>Sales per month = target / M. List size assumes a monthly buyer rate on the list.</t>
        </is>
      </c>
    </row>
    <row r="4">
      <c r="A4" s="5" t="inlineStr">
        <is>
          <t>Monthly buyer rate on email list (buyers per 1,000 per month)</t>
        </is>
      </c>
      <c r="B4" s="17" t="n">
        <v>8</v>
      </c>
      <c r="C4" s="2" t="inlineStr">
        <is>
          <t>ASSUMPTION; replace with measured</t>
        </is>
      </c>
    </row>
    <row r="6">
      <c r="A6" s="3" t="inlineStr">
        <is>
          <t>Monthly net target ($)</t>
        </is>
      </c>
      <c r="B6" s="3" t="inlineStr">
        <is>
          <t>Sales / month</t>
        </is>
      </c>
      <c r="C6" s="3" t="inlineStr">
        <is>
          <t>Sales / day</t>
        </is>
      </c>
      <c r="D6" s="3" t="inlineStr">
        <is>
          <t>List size needed</t>
        </is>
      </c>
      <c r="E6" s="3" t="inlineStr">
        <is>
          <t>Gross revenue / month</t>
        </is>
      </c>
    </row>
    <row r="7">
      <c r="A7" s="8" t="n">
        <v>500</v>
      </c>
      <c r="B7" s="18">
        <f>IF('Unit Economics'!$B$22&gt;0,A7/'Unit Economics'!$B$22,0)</f>
        <v/>
      </c>
      <c r="C7" s="19">
        <f>B7/30</f>
        <v/>
      </c>
      <c r="D7" s="18">
        <f>IF($B$4&gt;0,B7/$B$4*1000,0)</f>
        <v/>
      </c>
      <c r="E7" s="20">
        <f>B7*'Unit Economics'!$B$5</f>
        <v/>
      </c>
    </row>
    <row r="8">
      <c r="A8" s="8" t="n">
        <v>1000</v>
      </c>
      <c r="B8" s="18">
        <f>IF('Unit Economics'!$B$22&gt;0,A8/'Unit Economics'!$B$22,0)</f>
        <v/>
      </c>
      <c r="C8" s="19">
        <f>B8/30</f>
        <v/>
      </c>
      <c r="D8" s="18">
        <f>IF($B$4&gt;0,B8/$B$4*1000,0)</f>
        <v/>
      </c>
      <c r="E8" s="20">
        <f>B8*'Unit Economics'!$B$5</f>
        <v/>
      </c>
    </row>
    <row r="9">
      <c r="A9" s="8" t="n">
        <v>3000</v>
      </c>
      <c r="B9" s="18">
        <f>IF('Unit Economics'!$B$22&gt;0,A9/'Unit Economics'!$B$22,0)</f>
        <v/>
      </c>
      <c r="C9" s="19">
        <f>B9/30</f>
        <v/>
      </c>
      <c r="D9" s="18">
        <f>IF($B$4&gt;0,B9/$B$4*1000,0)</f>
        <v/>
      </c>
      <c r="E9" s="20">
        <f>B9*'Unit Economics'!$B$5</f>
        <v/>
      </c>
    </row>
    <row r="10">
      <c r="A10" s="8" t="n">
        <v>5000</v>
      </c>
      <c r="B10" s="18">
        <f>IF('Unit Economics'!$B$22&gt;0,A10/'Unit Economics'!$B$22,0)</f>
        <v/>
      </c>
      <c r="C10" s="19">
        <f>B10/30</f>
        <v/>
      </c>
      <c r="D10" s="18">
        <f>IF($B$4&gt;0,B10/$B$4*1000,0)</f>
        <v/>
      </c>
      <c r="E10" s="20">
        <f>B10*'Unit Economics'!$B$5</f>
        <v/>
      </c>
    </row>
    <row r="11">
      <c r="A11" s="8" t="n">
        <v>10000</v>
      </c>
      <c r="B11" s="18">
        <f>IF('Unit Economics'!$B$22&gt;0,A11/'Unit Economics'!$B$22,0)</f>
        <v/>
      </c>
      <c r="C11" s="19">
        <f>B11/30</f>
        <v/>
      </c>
      <c r="D11" s="18">
        <f>IF($B$4&gt;0,B11/$B$4*1000,0)</f>
        <v/>
      </c>
      <c r="E11" s="20">
        <f>B11*'Unit Economics'!$B$5</f>
        <v/>
      </c>
    </row>
    <row r="13">
      <c r="A13" s="2" t="inlineStr">
        <is>
          <t>One product only. Real businesses add more products and a higher-priced offer (course, coaching) to reach the top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6" customWidth="1" min="3" max="3"/>
    <col width="34" customWidth="1" min="4" max="4"/>
    <col width="14" customWidth="1" min="5" max="5"/>
    <col width="14" customWidth="1" min="6" max="6"/>
    <col width="12" customWidth="1" min="7" max="7"/>
    <col width="16" customWidth="1" min="8" max="8"/>
    <col width="32" customWidth="1" min="9" max="9"/>
  </cols>
  <sheetData>
    <row r="1">
      <c r="A1" s="1" t="inlineStr">
        <is>
          <t>8-week test log and kill-rule monitor</t>
        </is>
      </c>
    </row>
    <row r="2">
      <c r="A2" s="2" t="inlineStr">
        <is>
          <t>Enter weekly numbers in blue/yellow columns only. Week 1 holds an example row: overwrite it.</t>
        </is>
      </c>
    </row>
    <row r="3">
      <c r="D3" s="10" t="inlineStr">
        <is>
          <t>Kill rule</t>
        </is>
      </c>
      <c r="H3" s="10" t="inlineStr">
        <is>
          <t>Status</t>
        </is>
      </c>
    </row>
    <row r="4">
      <c r="A4" s="5" t="inlineStr">
        <is>
          <t>Current week (1-8)</t>
        </is>
      </c>
      <c r="B4" s="16" t="n">
        <v>1</v>
      </c>
      <c r="C4" s="2" t="inlineStr">
        <is>
          <t>Update weekly</t>
        </is>
      </c>
      <c r="D4" s="5" t="inlineStr">
        <is>
          <t>1. Cash spent at or above $300</t>
        </is>
      </c>
      <c r="H4" s="23">
        <f>IF(B12&gt;=300,"KILL","ok")</f>
        <v/>
      </c>
    </row>
    <row r="5">
      <c r="A5" s="5" t="inlineStr">
        <is>
          <t>Launch week (week the product goes on sale)</t>
        </is>
      </c>
      <c r="B5" s="16" t="n">
        <v>5</v>
      </c>
      <c r="C5" s="2" t="inlineStr">
        <is>
          <t>Plan: week 5</t>
        </is>
      </c>
      <c r="D5" s="5" t="inlineStr">
        <is>
          <t>2. Week 3+, 12+ posts, under 25 signups</t>
        </is>
      </c>
      <c r="H5" s="23">
        <f>IF(AND(B4&gt;=3,B6&gt;=12,B8&lt;25),"KILL","ok")</f>
        <v/>
      </c>
    </row>
    <row r="6">
      <c r="A6" s="5" t="inlineStr">
        <is>
          <t>Posts published to date</t>
        </is>
      </c>
      <c r="B6" s="18">
        <f>SUMIFS(B17:B24,A17:A24,"&lt;="&amp;B4)</f>
        <v/>
      </c>
      <c r="D6" s="5" t="inlineStr">
        <is>
          <t>3. 3 weeks after launch, 100+ list, under 5 sales</t>
        </is>
      </c>
      <c r="H6" s="23">
        <f>IF(AND(B4&gt;=B5+3,B7&gt;=100,B9&lt;5),"KILL","ok")</f>
        <v/>
      </c>
    </row>
    <row r="7">
      <c r="A7" s="5" t="inlineStr">
        <is>
          <t>Email list size (latest entered)</t>
        </is>
      </c>
      <c r="B7" s="18">
        <f>IFERROR(INDEX(D17:D24,MATCH(B4,A17:A24,0)),0)</f>
        <v/>
      </c>
      <c r="D7" s="5" t="inlineStr">
        <is>
          <t>4. Refund rate above 10% (10+ sales)</t>
        </is>
      </c>
      <c r="H7" s="23">
        <f>IF(AND(B9&gt;=10,B13&gt;0.1),"KILL","ok")</f>
        <v/>
      </c>
    </row>
    <row r="8">
      <c r="A8" s="5" t="inlineStr">
        <is>
          <t>Email signups to date</t>
        </is>
      </c>
      <c r="B8" s="18">
        <f>SUMIFS(C17:C24,A17:A24,"&lt;="&amp;B4)</f>
        <v/>
      </c>
      <c r="D8" s="5" t="inlineStr">
        <is>
          <t>5. Ads before 10 organic sales</t>
        </is>
      </c>
      <c r="H8" s="23">
        <f>IF(AND(B11&gt;0,B9&lt;10),"KILL","ok")</f>
        <v/>
      </c>
    </row>
    <row r="9">
      <c r="A9" s="5" t="inlineStr">
        <is>
          <t>Paying customers to date</t>
        </is>
      </c>
      <c r="B9" s="18">
        <f>SUMIFS(E17:E24,A17:A24,"&lt;="&amp;B4)</f>
        <v/>
      </c>
      <c r="D9" s="2" t="inlineStr">
        <is>
          <t>Manual: accuracy complaints, platform strikes, ad-account warnings, or claims you can't back up. Pause and note it.</t>
        </is>
      </c>
    </row>
    <row r="10">
      <c r="A10" s="5" t="inlineStr">
        <is>
          <t>Refunded orders to date</t>
        </is>
      </c>
      <c r="B10" s="18">
        <f>SUMIFS(F17:F24,A17:A24,"&lt;="&amp;B4)</f>
        <v/>
      </c>
      <c r="D10" s="2" t="inlineStr">
        <is>
          <t>Rule 6: the test ends after week 8.</t>
        </is>
      </c>
    </row>
    <row r="11">
      <c r="A11" s="5" t="inlineStr">
        <is>
          <t>Ad spend to date</t>
        </is>
      </c>
      <c r="B11" s="20">
        <f>SUMIFS(G17:G24,A17:A24,"&lt;="&amp;B4)</f>
        <v/>
      </c>
    </row>
    <row r="12">
      <c r="A12" s="5" t="inlineStr">
        <is>
          <t>Cash spent to date (fixed + ads)</t>
        </is>
      </c>
      <c r="B12" s="20">
        <f>B11+'Unit Economics'!B13</f>
        <v/>
      </c>
    </row>
    <row r="13">
      <c r="A13" s="5" t="inlineStr">
        <is>
          <t>Refund rate</t>
        </is>
      </c>
      <c r="B13" s="12">
        <f>IF(B9&gt;0,B10/B9,0)</f>
        <v/>
      </c>
    </row>
    <row r="14">
      <c r="A14" s="5" t="inlineStr">
        <is>
          <t>Net profit to date (customers x M - ads - fixed)</t>
        </is>
      </c>
      <c r="B14" s="20">
        <f>B9*'Unit Economics'!$B$22-B11-'Unit Economics'!B13</f>
        <v/>
      </c>
    </row>
    <row r="15">
      <c r="A15" s="10" t="inlineStr">
        <is>
          <t>Week-8 verdict</t>
        </is>
      </c>
      <c r="B15" s="23">
        <f>IF(COUNTIF(H4:H8,"KILL")&gt;0,"KILLED",IF(B4&lt;8,"IN PROGRESS",IF(AND(B9&gt;=30,B7&gt;=200,B13&lt;0.08,B14&gt;0),"PASS",IF(B9&gt;=10,"INCONCLUSIVE","FAIL"))))</f>
        <v/>
      </c>
    </row>
    <row r="16">
      <c r="A16" s="24" t="inlineStr">
        <is>
          <t>Week</t>
        </is>
      </c>
      <c r="B16" s="24" t="inlineStr">
        <is>
          <t>Posts published</t>
        </is>
      </c>
      <c r="C16" s="24" t="inlineStr">
        <is>
          <t>New email signups</t>
        </is>
      </c>
      <c r="D16" s="24" t="inlineStr">
        <is>
          <t>Email list size</t>
        </is>
      </c>
      <c r="E16" s="24" t="inlineStr">
        <is>
          <t>Paying customers</t>
        </is>
      </c>
      <c r="F16" s="24" t="inlineStr">
        <is>
          <t>Refunded orders</t>
        </is>
      </c>
      <c r="G16" s="24" t="inlineStr">
        <is>
          <t>Ad spend ($)</t>
        </is>
      </c>
      <c r="H16" s="24" t="inlineStr">
        <is>
          <t>Views (all posts)</t>
        </is>
      </c>
      <c r="I16" s="24" t="inlineStr">
        <is>
          <t>Notes</t>
        </is>
      </c>
    </row>
    <row r="17">
      <c r="A17" s="5" t="n">
        <v>1</v>
      </c>
      <c r="B17" s="15" t="n">
        <v>4</v>
      </c>
      <c r="C17" s="15" t="n">
        <v>12</v>
      </c>
      <c r="D17" s="15" t="n">
        <v>12</v>
      </c>
      <c r="E17" s="15" t="n">
        <v>0</v>
      </c>
      <c r="F17" s="15" t="n">
        <v>0</v>
      </c>
      <c r="G17" s="8" t="n">
        <v>0</v>
      </c>
      <c r="H17" s="15" t="n">
        <v>1500</v>
      </c>
      <c r="I17" s="25" t="inlineStr">
        <is>
          <t>Example row: replace</t>
        </is>
      </c>
    </row>
    <row r="18">
      <c r="A18" s="5" t="n">
        <v>2</v>
      </c>
      <c r="B18" s="15" t="n"/>
      <c r="C18" s="15" t="n"/>
      <c r="D18" s="15" t="n"/>
      <c r="E18" s="15" t="n"/>
      <c r="F18" s="15" t="n"/>
      <c r="G18" s="8" t="n"/>
      <c r="H18" s="15" t="n"/>
      <c r="I18" s="25" t="n"/>
    </row>
    <row r="19">
      <c r="A19" s="5" t="n">
        <v>3</v>
      </c>
      <c r="B19" s="15" t="n"/>
      <c r="C19" s="15" t="n"/>
      <c r="D19" s="15" t="n"/>
      <c r="E19" s="15" t="n"/>
      <c r="F19" s="15" t="n"/>
      <c r="G19" s="8" t="n"/>
      <c r="H19" s="15" t="n"/>
      <c r="I19" s="25" t="n"/>
    </row>
    <row r="20">
      <c r="A20" s="5" t="n">
        <v>4</v>
      </c>
      <c r="B20" s="15" t="n"/>
      <c r="C20" s="15" t="n"/>
      <c r="D20" s="15" t="n"/>
      <c r="E20" s="15" t="n"/>
      <c r="F20" s="15" t="n"/>
      <c r="G20" s="8" t="n"/>
      <c r="H20" s="15" t="n"/>
      <c r="I20" s="25" t="n"/>
    </row>
    <row r="21">
      <c r="A21" s="5" t="n">
        <v>5</v>
      </c>
      <c r="B21" s="15" t="n"/>
      <c r="C21" s="15" t="n"/>
      <c r="D21" s="15" t="n"/>
      <c r="E21" s="15" t="n"/>
      <c r="F21" s="15" t="n"/>
      <c r="G21" s="8" t="n"/>
      <c r="H21" s="15" t="n"/>
      <c r="I21" s="25" t="n"/>
    </row>
    <row r="22">
      <c r="A22" s="5" t="n">
        <v>6</v>
      </c>
      <c r="B22" s="15" t="n"/>
      <c r="C22" s="15" t="n"/>
      <c r="D22" s="15" t="n"/>
      <c r="E22" s="15" t="n"/>
      <c r="F22" s="15" t="n"/>
      <c r="G22" s="8" t="n"/>
      <c r="H22" s="15" t="n"/>
      <c r="I22" s="25" t="n"/>
    </row>
    <row r="23">
      <c r="A23" s="5" t="n">
        <v>7</v>
      </c>
      <c r="B23" s="15" t="n"/>
      <c r="C23" s="15" t="n"/>
      <c r="D23" s="15" t="n"/>
      <c r="E23" s="15" t="n"/>
      <c r="F23" s="15" t="n"/>
      <c r="G23" s="8" t="n"/>
      <c r="H23" s="15" t="n"/>
      <c r="I23" s="25" t="n"/>
    </row>
    <row r="24">
      <c r="A24" s="5" t="n">
        <v>8</v>
      </c>
      <c r="B24" s="15" t="n"/>
      <c r="C24" s="15" t="n"/>
      <c r="D24" s="15" t="n"/>
      <c r="E24" s="15" t="n"/>
      <c r="F24" s="15" t="n"/>
      <c r="G24" s="8" t="n"/>
      <c r="H24" s="15" t="n"/>
      <c r="I24" s="25" t="n"/>
    </row>
  </sheetData>
  <conditionalFormatting sqref="H4:H8">
    <cfRule type="cellIs" priority="1" operator="equal" dxfId="1">
      <formula>"KILL"</formula>
    </cfRule>
  </conditionalFormatting>
  <conditionalFormatting sqref="B15">
    <cfRule type="cellIs" priority="2" operator="equal" dxfId="0">
      <formula>"PASS"</formula>
    </cfRule>
    <cfRule type="cellIs" priority="3" operator="equal" dxfId="1">
      <formula>"KILLED"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Assumptions and sources</t>
        </is>
      </c>
    </row>
    <row r="3">
      <c r="A3" s="5" t="inlineStr">
        <is>
          <t>Source: DIGITAL_PRODUCT_TEST_PLAN.md in this repo (gates, phases, kill rules, thresholds). Written before any data.</t>
        </is>
      </c>
    </row>
    <row r="4">
      <c r="A4" s="5" t="inlineStr">
        <is>
          <t>All example numbers (price $19, fees, CPC $0.80, conversion 1.5%, funnel rates) are placeholders chosen by the author. None were measured.</t>
        </is>
      </c>
    </row>
    <row r="5">
      <c r="A5" s="5" t="inlineStr">
        <is>
          <t>Price range $15-25 for a grade/subject bundle comes from seller blogs (Etsy guides), not verified sales data.</t>
        </is>
      </c>
    </row>
    <row r="6">
      <c r="A6" s="5" t="inlineStr">
        <is>
          <t>Market size (about 3.0-3.7M US homeschoolers) comes from secondary roundups; verify with NCES NHES and the Johns Hopkins Homeschool Hub.</t>
        </is>
      </c>
    </row>
    <row r="7">
      <c r="A7" s="5" t="inlineStr">
        <is>
          <t>Platform fee varies a lot by platform. Update it for the one you choose.</t>
        </is>
      </c>
    </row>
    <row r="8">
      <c r="A8" s="5" t="inlineStr">
        <is>
          <t>Cold-ad cost per click and conversion for education products were not found in any benchmark. Measure them.</t>
        </is>
      </c>
    </row>
    <row r="9">
      <c r="A9" s="5" t="inlineStr">
        <is>
          <t>Taxes (including sales tax on digital goods in some states), and your time, are not modelled.</t>
        </is>
      </c>
    </row>
    <row r="10">
      <c r="A10" s="5" t="inlineStr">
        <is>
          <t>Tabs: Unit Economics (inputs, margin, ad viability) | Funnel (low/base/high) | Income Targets | Test Log (kill rules).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2026-10-13T23:53:43Z</dcterms:created>
  <dcterms:modified xsi:type="dcterms:W3CDTF">2026-10-13T23:53:43Z</dcterms:modified>
</cp:coreProperties>
</file>