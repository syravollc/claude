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-Even" sheetId="1" state="visible" r:id="rId1"/>
    <sheet name="Sensitivity" sheetId="2" state="visible" r:id="rId2"/>
    <sheet name="Test Log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-"/>
    <numFmt numFmtId="165" formatCode="0.0%;(0.0%);-"/>
    <numFmt numFmtId="166" formatCode="$#,##0;($#,##0);-"/>
    <numFmt numFmtId="167" formatCode="0.00&quot;x&quot;"/>
    <numFmt numFmtId="168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6" fillId="0" borderId="0" pivotButton="0" quotePrefix="0" xfId="0"/>
    <xf numFmtId="164" fontId="6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6" fontId="4" fillId="0" borderId="1" pivotButton="0" quotePrefix="0" xfId="0"/>
    <xf numFmtId="166" fontId="6" fillId="0" borderId="1" pivotButton="0" quotePrefix="0" xfId="0"/>
    <xf numFmtId="49" fontId="4" fillId="0" borderId="1" pivotButton="0" quotePrefix="0" xfId="0"/>
    <xf numFmtId="49" fontId="6" fillId="0" borderId="1" pivotButton="0" quotePrefix="0" xfId="0"/>
    <xf numFmtId="164" fontId="7" fillId="0" borderId="0" pivotButton="0" quotePrefix="0" xfId="0"/>
    <xf numFmtId="0" fontId="6" fillId="0" borderId="1" pivotButton="0" quotePrefix="0" xfId="0"/>
    <xf numFmtId="1" fontId="4" fillId="0" borderId="1" pivotButton="0" quotePrefix="0" xfId="0"/>
    <xf numFmtId="0" fontId="3" fillId="2" borderId="0" applyAlignment="1" pivotButton="0" quotePrefix="0" xfId="0">
      <alignment horizontal="center" wrapText="1"/>
    </xf>
    <xf numFmtId="3" fontId="5" fillId="3" borderId="1" pivotButton="0" quotePrefix="0" xfId="0"/>
    <xf numFmtId="1" fontId="5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dxfs count="4">
    <dxf>
      <font>
        <name val="Arial"/>
        <b val="1"/>
        <color rgb="00C00000"/>
      </font>
    </dxf>
    <dxf>
      <font>
        <name val="Arial"/>
        <b val="1"/>
        <color rgb="00007A33"/>
      </font>
    </dxf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56" customWidth="1" min="3" max="3"/>
  </cols>
  <sheetData>
    <row r="1">
      <c r="A1" s="1" t="inlineStr">
        <is>
          <t>Dropshipping break-even calculator</t>
        </is>
      </c>
    </row>
    <row r="2">
      <c r="A2" s="2" t="inlineStr">
        <is>
          <t>Blue cells on yellow are inputs: edit only those. Everything else is a formula. Example values are placeholders, not research.</t>
        </is>
      </c>
    </row>
    <row r="4">
      <c r="A4" s="3" t="inlineStr">
        <is>
          <t>INPUTS: per-order economics</t>
        </is>
      </c>
      <c r="B4" s="4" t="n"/>
      <c r="C4" s="4" t="n"/>
    </row>
    <row r="5">
      <c r="A5" s="5" t="inlineStr">
        <is>
          <t>Retail price</t>
        </is>
      </c>
      <c r="B5" s="6" t="n">
        <v>45</v>
      </c>
      <c r="C5" s="2" t="inlineStr">
        <is>
          <t>Plan gate: $30-80</t>
        </is>
      </c>
    </row>
    <row r="6">
      <c r="A6" s="5" t="inlineStr">
        <is>
          <t>Product cost (supplier)</t>
        </is>
      </c>
      <c r="B6" s="6" t="n">
        <v>12</v>
      </c>
      <c r="C6" s="2" t="inlineStr">
        <is>
          <t>Quote from US-warehouse supplier</t>
        </is>
      </c>
    </row>
    <row r="7">
      <c r="A7" s="5" t="inlineStr">
        <is>
          <t>Shipping cost to customer</t>
        </is>
      </c>
      <c r="B7" s="6" t="n">
        <v>6</v>
      </c>
      <c r="C7" s="2" t="inlineStr">
        <is>
          <t>Supplier shipping fee for 1 unit</t>
        </is>
      </c>
    </row>
    <row r="8">
      <c r="A8" s="5" t="inlineStr">
        <is>
          <t>Payment fee, percent of price</t>
        </is>
      </c>
      <c r="B8" s="7" t="n">
        <v>0.029</v>
      </c>
      <c r="C8" s="2" t="inlineStr">
        <is>
          <t>Typical card processor rate; check your processor</t>
        </is>
      </c>
    </row>
    <row r="9">
      <c r="A9" s="5" t="inlineStr">
        <is>
          <t>Payment fee, fixed per order</t>
        </is>
      </c>
      <c r="B9" s="6" t="n">
        <v>0.3</v>
      </c>
      <c r="C9" s="2" t="inlineStr">
        <is>
          <t>Typical; check your processor</t>
        </is>
      </c>
    </row>
    <row r="10">
      <c r="A10" s="5" t="inlineStr">
        <is>
          <t>Refund + chargeback reserve, percent of price</t>
        </is>
      </c>
      <c r="B10" s="7" t="n">
        <v>0.05</v>
      </c>
      <c r="C10" s="2" t="inlineStr">
        <is>
          <t>Plan assumption, not measured</t>
        </is>
      </c>
    </row>
    <row r="11">
      <c r="A11" s="5" t="inlineStr">
        <is>
          <t>Other per-order cost (packaging, app fee)</t>
        </is>
      </c>
      <c r="B11" s="6" t="n">
        <v>0</v>
      </c>
      <c r="C11" s="2" t="inlineStr">
        <is>
          <t>Add per-order costs not listed above</t>
        </is>
      </c>
    </row>
    <row r="13">
      <c r="A13" s="3" t="inlineStr">
        <is>
          <t>INPUTS: ad funnel</t>
        </is>
      </c>
      <c r="B13" s="4" t="n"/>
      <c r="C13" s="4" t="n"/>
    </row>
    <row r="14">
      <c r="A14" s="5" t="inlineStr">
        <is>
          <t>Cost per click (CPC)</t>
        </is>
      </c>
      <c r="B14" s="6" t="n">
        <v>0.6</v>
      </c>
      <c r="C14" s="2" t="inlineStr">
        <is>
          <t>Assumption. Replace with real test data</t>
        </is>
      </c>
    </row>
    <row r="15">
      <c r="A15" s="5" t="inlineStr">
        <is>
          <t>Click-to-purchase conversion rate</t>
        </is>
      </c>
      <c r="B15" s="7" t="n">
        <v>0.02</v>
      </c>
      <c r="C15" s="2" t="inlineStr">
        <is>
          <t>Assumption. Cold-traffic stores often see 1-3%</t>
        </is>
      </c>
    </row>
    <row r="16">
      <c r="A16" s="5" t="inlineStr">
        <is>
          <t>Test ad budget</t>
        </is>
      </c>
      <c r="B16" s="8" t="n">
        <v>300</v>
      </c>
      <c r="C16" s="2" t="inlineStr">
        <is>
          <t>Plan cap: $300 ads</t>
        </is>
      </c>
    </row>
    <row r="17">
      <c r="A17" s="5" t="inlineStr">
        <is>
          <t>Fixed costs (store, tools, sample)</t>
        </is>
      </c>
      <c r="B17" s="8" t="n">
        <v>100</v>
      </c>
      <c r="C17" s="2" t="inlineStr">
        <is>
          <t>Plan cap: $100</t>
        </is>
      </c>
    </row>
    <row r="19">
      <c r="A19" s="3" t="inlineStr">
        <is>
          <t>OUTPUTS: unit economics</t>
        </is>
      </c>
      <c r="B19" s="4" t="n"/>
      <c r="C19" s="4" t="n"/>
    </row>
    <row r="20">
      <c r="A20" s="5" t="inlineStr">
        <is>
          <t>Landed cost (product + shipping + other)</t>
        </is>
      </c>
      <c r="B20" s="9">
        <f>B6+B7+B11</f>
        <v/>
      </c>
      <c r="C20" s="2" t="inlineStr"/>
    </row>
    <row r="21">
      <c r="A21" s="5" t="inlineStr">
        <is>
          <t>Gross margin per order</t>
        </is>
      </c>
      <c r="B21" s="9">
        <f>B5-B20</f>
        <v/>
      </c>
      <c r="C21" s="2" t="inlineStr"/>
    </row>
    <row r="22">
      <c r="A22" s="5" t="inlineStr">
        <is>
          <t>Gross margin %</t>
        </is>
      </c>
      <c r="B22" s="10">
        <f>IF(B5&gt;0,B21/B5,0)</f>
        <v/>
      </c>
      <c r="C22" s="2" t="inlineStr">
        <is>
          <t>Plan gate: at least 50%</t>
        </is>
      </c>
    </row>
    <row r="23">
      <c r="A23" s="5" t="inlineStr">
        <is>
          <t>Payment fees per order</t>
        </is>
      </c>
      <c r="B23" s="9">
        <f>B5*B8+B9</f>
        <v/>
      </c>
      <c r="C23" s="2" t="inlineStr"/>
    </row>
    <row r="24">
      <c r="A24" s="5" t="inlineStr">
        <is>
          <t>Refund/chargeback reserve per order</t>
        </is>
      </c>
      <c r="B24" s="9">
        <f>B5*B10</f>
        <v/>
      </c>
      <c r="C24" s="2" t="inlineStr"/>
    </row>
    <row r="25">
      <c r="A25" s="11" t="inlineStr">
        <is>
          <t>Contribution margin per order (M)</t>
        </is>
      </c>
      <c r="B25" s="12">
        <f>B21-B23-B24</f>
        <v/>
      </c>
      <c r="C25" s="2">
        <f> break-even cost per purchase</f>
        <v/>
      </c>
    </row>
    <row r="26">
      <c r="A26" s="5" t="inlineStr">
        <is>
          <t>Break-even ROAS</t>
        </is>
      </c>
      <c r="B26" s="13">
        <f>IF(B25&gt;0,B5/B25,0)</f>
        <v/>
      </c>
      <c r="C26" s="2" t="inlineStr">
        <is>
          <t>Revenue per ad $ needed to break even</t>
        </is>
      </c>
    </row>
    <row r="28">
      <c r="A28" s="3" t="inlineStr">
        <is>
          <t>OUTPUTS: ads vs margin</t>
        </is>
      </c>
      <c r="B28" s="4" t="n"/>
      <c r="C28" s="4" t="n"/>
    </row>
    <row r="29">
      <c r="A29" s="11" t="inlineStr">
        <is>
          <t>Expected cost per purchase (CPA = CPC / conversion)</t>
        </is>
      </c>
      <c r="B29" s="12">
        <f>IF(B15&gt;0,B14/B15,0)</f>
        <v/>
      </c>
      <c r="C29" s="2" t="inlineStr"/>
    </row>
    <row r="30">
      <c r="A30" s="11" t="inlineStr">
        <is>
          <t>Profit per order after ads</t>
        </is>
      </c>
      <c r="B30" s="12">
        <f>B25-B29</f>
        <v/>
      </c>
      <c r="C30" s="2" t="inlineStr"/>
    </row>
    <row r="31">
      <c r="A31" s="5" t="inlineStr">
        <is>
          <t>Required conversion rate to break even</t>
        </is>
      </c>
      <c r="B31" s="10">
        <f>IF(B25&gt;0,B14/B25,0)</f>
        <v/>
      </c>
      <c r="C31" s="2" t="inlineStr">
        <is>
          <t>Plan gate: reject if above 4%</t>
        </is>
      </c>
    </row>
    <row r="32">
      <c r="A32" s="5" t="inlineStr">
        <is>
          <t>Expected purchases from ad budget</t>
        </is>
      </c>
      <c r="B32" s="14">
        <f>IF(B29&gt;0,B16/B29,0)</f>
        <v/>
      </c>
      <c r="C32" s="2" t="inlineStr"/>
    </row>
    <row r="33">
      <c r="A33" s="5" t="inlineStr">
        <is>
          <t>Expected profit after ads, before fixed costs</t>
        </is>
      </c>
      <c r="B33" s="15">
        <f>B32*B30</f>
        <v/>
      </c>
      <c r="C33" s="2" t="inlineStr"/>
    </row>
    <row r="34">
      <c r="A34" s="11" t="inlineStr">
        <is>
          <t>Expected profit after ads and fixed costs</t>
        </is>
      </c>
      <c r="B34" s="16">
        <f>B33-B17</f>
        <v/>
      </c>
      <c r="C34" s="2" t="inlineStr"/>
    </row>
    <row r="36">
      <c r="A36" s="3" t="inlineStr">
        <is>
          <t>PLAN THRESHOLDS (from DROPSHIPPING_TEST_PLAN.md)</t>
        </is>
      </c>
      <c r="B36" s="4" t="n"/>
      <c r="C36" s="4" t="n"/>
    </row>
    <row r="37">
      <c r="A37" s="5" t="inlineStr">
        <is>
          <t>Pass: CPA must be at or below 0.7 x M</t>
        </is>
      </c>
      <c r="B37" s="9">
        <f>0.7*B25</f>
        <v/>
      </c>
      <c r="C37" s="2" t="inlineStr"/>
    </row>
    <row r="38">
      <c r="A38" s="5" t="inlineStr">
        <is>
          <t>Keep going: CPA at or below 1.5 x M (kill above, after 10+ purchases)</t>
        </is>
      </c>
      <c r="B38" s="9">
        <f>1.5*B25</f>
        <v/>
      </c>
      <c r="C38" s="2" t="inlineStr"/>
    </row>
    <row r="39">
      <c r="A39" s="5" t="inlineStr">
        <is>
          <t>Zero-purchase kill: ad spend with no sales</t>
        </is>
      </c>
      <c r="B39" s="15">
        <f>150</f>
        <v/>
      </c>
      <c r="C39" s="2" t="inlineStr">
        <is>
          <t>Plan rule 2</t>
        </is>
      </c>
    </row>
    <row r="41">
      <c r="A41" s="3" t="inlineStr">
        <is>
          <t>PRE-SPEND GATES</t>
        </is>
      </c>
      <c r="B41" s="4" t="n"/>
      <c r="C41" s="4" t="n"/>
    </row>
    <row r="42">
      <c r="A42" s="5" t="inlineStr">
        <is>
          <t>Gross margin at least 50%</t>
        </is>
      </c>
      <c r="B42" s="17">
        <f>IF(B22&gt;=0.5,"PASS","FAIL")</f>
        <v/>
      </c>
      <c r="C42" s="2" t="inlineStr"/>
    </row>
    <row r="43">
      <c r="A43" s="5" t="inlineStr">
        <is>
          <t>Price between $30 and $80</t>
        </is>
      </c>
      <c r="B43" s="17">
        <f>IF(AND(B5&gt;=30,B5&lt;=80),"PASS","FAIL")</f>
        <v/>
      </c>
      <c r="C43" s="2" t="inlineStr"/>
    </row>
    <row r="44">
      <c r="A44" s="5" t="inlineStr">
        <is>
          <t>Required conversion at most 4%</t>
        </is>
      </c>
      <c r="B44" s="17">
        <f>IF(AND(B31&gt;0,B31&lt;=0.04),"PASS","FAIL")</f>
        <v/>
      </c>
      <c r="C44" s="2" t="inlineStr"/>
    </row>
    <row r="45">
      <c r="A45" s="5" t="inlineStr">
        <is>
          <t>Contribution margin positive</t>
        </is>
      </c>
      <c r="B45" s="17">
        <f>IF(B25&gt;0,"PASS","FAIL")</f>
        <v/>
      </c>
      <c r="C45" s="2" t="inlineStr"/>
    </row>
    <row r="46">
      <c r="A46" s="5" t="inlineStr">
        <is>
          <t>Expected CPA at or below M</t>
        </is>
      </c>
      <c r="B46" s="17">
        <f>IF(B29&lt;=B25,"PASS","FAIL")</f>
        <v/>
      </c>
      <c r="C46" s="2" t="inlineStr"/>
    </row>
    <row r="47">
      <c r="A47" s="11" t="inlineStr">
        <is>
          <t>OVERALL (all gates must pass)</t>
        </is>
      </c>
      <c r="B47" s="18">
        <f>IF(COUNTIF(B42:B46,"PASS")=5,"GO to test","REJECT product")</f>
        <v/>
      </c>
      <c r="C47" s="2" t="inlineStr">
        <is>
          <t>Does not replace supplier, sample and review checks</t>
        </is>
      </c>
    </row>
  </sheetData>
  <conditionalFormatting sqref="B42:B47">
    <cfRule type="cellIs" priority="1" operator="equal" dxfId="0">
      <formula>"FAIL"</formula>
    </cfRule>
    <cfRule type="cellIs" priority="2" operator="equal" dxfId="0">
      <formula>"REJECT product"</formula>
    </cfRule>
    <cfRule type="cellIs" priority="3" operator="equal" dxfId="1">
      <formula>"PASS"</formula>
    </cfRule>
    <cfRule type="cellIs" priority="4" operator="equal" dxfId="1">
      <formula>"GO to test"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Profit per order after ads: CPC vs conversion rate</t>
        </is>
      </c>
    </row>
    <row r="2">
      <c r="A2" s="2" t="inlineStr">
        <is>
          <t>Profit per order = M - (CPC / conversion). M comes from Break-Even!B25. Green = profitable, red = losing.</t>
        </is>
      </c>
    </row>
    <row r="4">
      <c r="A4" s="11" t="inlineStr">
        <is>
          <t>Contribution margin M</t>
        </is>
      </c>
      <c r="B4" s="19">
        <f>'Break-Even'!B25</f>
        <v/>
      </c>
    </row>
    <row r="6">
      <c r="A6" s="11" t="inlineStr">
        <is>
          <t>CPC (down) / conversion (across)</t>
        </is>
      </c>
      <c r="B6" s="7" t="n">
        <v>0.01</v>
      </c>
      <c r="C6" s="7" t="n">
        <v>0.015</v>
      </c>
      <c r="D6" s="7" t="n">
        <v>0.02</v>
      </c>
      <c r="E6" s="7" t="n">
        <v>0.025</v>
      </c>
      <c r="F6" s="7" t="n">
        <v>0.03</v>
      </c>
      <c r="G6" s="7" t="n">
        <v>0.04</v>
      </c>
      <c r="H6" s="7" t="n">
        <v>0.05</v>
      </c>
    </row>
    <row r="7">
      <c r="A7" s="6" t="n">
        <v>0.3</v>
      </c>
      <c r="B7" s="9">
        <f>IF(B$6&gt;0,$B$4-$A7/B$6,0)</f>
        <v/>
      </c>
      <c r="C7" s="9">
        <f>IF(C$6&gt;0,$B$4-$A7/C$6,0)</f>
        <v/>
      </c>
      <c r="D7" s="9">
        <f>IF(D$6&gt;0,$B$4-$A7/D$6,0)</f>
        <v/>
      </c>
      <c r="E7" s="9">
        <f>IF(E$6&gt;0,$B$4-$A7/E$6,0)</f>
        <v/>
      </c>
      <c r="F7" s="9">
        <f>IF(F$6&gt;0,$B$4-$A7/F$6,0)</f>
        <v/>
      </c>
      <c r="G7" s="9">
        <f>IF(G$6&gt;0,$B$4-$A7/G$6,0)</f>
        <v/>
      </c>
      <c r="H7" s="9">
        <f>IF(H$6&gt;0,$B$4-$A7/H$6,0)</f>
        <v/>
      </c>
    </row>
    <row r="8">
      <c r="A8" s="6" t="n">
        <v>0.4</v>
      </c>
      <c r="B8" s="9">
        <f>IF(B$6&gt;0,$B$4-$A8/B$6,0)</f>
        <v/>
      </c>
      <c r="C8" s="9">
        <f>IF(C$6&gt;0,$B$4-$A8/C$6,0)</f>
        <v/>
      </c>
      <c r="D8" s="9">
        <f>IF(D$6&gt;0,$B$4-$A8/D$6,0)</f>
        <v/>
      </c>
      <c r="E8" s="9">
        <f>IF(E$6&gt;0,$B$4-$A8/E$6,0)</f>
        <v/>
      </c>
      <c r="F8" s="9">
        <f>IF(F$6&gt;0,$B$4-$A8/F$6,0)</f>
        <v/>
      </c>
      <c r="G8" s="9">
        <f>IF(G$6&gt;0,$B$4-$A8/G$6,0)</f>
        <v/>
      </c>
      <c r="H8" s="9">
        <f>IF(H$6&gt;0,$B$4-$A8/H$6,0)</f>
        <v/>
      </c>
    </row>
    <row r="9">
      <c r="A9" s="6" t="n">
        <v>0.5</v>
      </c>
      <c r="B9" s="9">
        <f>IF(B$6&gt;0,$B$4-$A9/B$6,0)</f>
        <v/>
      </c>
      <c r="C9" s="9">
        <f>IF(C$6&gt;0,$B$4-$A9/C$6,0)</f>
        <v/>
      </c>
      <c r="D9" s="9">
        <f>IF(D$6&gt;0,$B$4-$A9/D$6,0)</f>
        <v/>
      </c>
      <c r="E9" s="9">
        <f>IF(E$6&gt;0,$B$4-$A9/E$6,0)</f>
        <v/>
      </c>
      <c r="F9" s="9">
        <f>IF(F$6&gt;0,$B$4-$A9/F$6,0)</f>
        <v/>
      </c>
      <c r="G9" s="9">
        <f>IF(G$6&gt;0,$B$4-$A9/G$6,0)</f>
        <v/>
      </c>
      <c r="H9" s="9">
        <f>IF(H$6&gt;0,$B$4-$A9/H$6,0)</f>
        <v/>
      </c>
    </row>
    <row r="10">
      <c r="A10" s="6" t="n">
        <v>0.6</v>
      </c>
      <c r="B10" s="9">
        <f>IF(B$6&gt;0,$B$4-$A10/B$6,0)</f>
        <v/>
      </c>
      <c r="C10" s="9">
        <f>IF(C$6&gt;0,$B$4-$A10/C$6,0)</f>
        <v/>
      </c>
      <c r="D10" s="9">
        <f>IF(D$6&gt;0,$B$4-$A10/D$6,0)</f>
        <v/>
      </c>
      <c r="E10" s="9">
        <f>IF(E$6&gt;0,$B$4-$A10/E$6,0)</f>
        <v/>
      </c>
      <c r="F10" s="9">
        <f>IF(F$6&gt;0,$B$4-$A10/F$6,0)</f>
        <v/>
      </c>
      <c r="G10" s="9">
        <f>IF(G$6&gt;0,$B$4-$A10/G$6,0)</f>
        <v/>
      </c>
      <c r="H10" s="9">
        <f>IF(H$6&gt;0,$B$4-$A10/H$6,0)</f>
        <v/>
      </c>
    </row>
    <row r="11">
      <c r="A11" s="6" t="n">
        <v>0.8</v>
      </c>
      <c r="B11" s="9">
        <f>IF(B$6&gt;0,$B$4-$A11/B$6,0)</f>
        <v/>
      </c>
      <c r="C11" s="9">
        <f>IF(C$6&gt;0,$B$4-$A11/C$6,0)</f>
        <v/>
      </c>
      <c r="D11" s="9">
        <f>IF(D$6&gt;0,$B$4-$A11/D$6,0)</f>
        <v/>
      </c>
      <c r="E11" s="9">
        <f>IF(E$6&gt;0,$B$4-$A11/E$6,0)</f>
        <v/>
      </c>
      <c r="F11" s="9">
        <f>IF(F$6&gt;0,$B$4-$A11/F$6,0)</f>
        <v/>
      </c>
      <c r="G11" s="9">
        <f>IF(G$6&gt;0,$B$4-$A11/G$6,0)</f>
        <v/>
      </c>
      <c r="H11" s="9">
        <f>IF(H$6&gt;0,$B$4-$A11/H$6,0)</f>
        <v/>
      </c>
    </row>
    <row r="12">
      <c r="A12" s="6" t="n">
        <v>1</v>
      </c>
      <c r="B12" s="9">
        <f>IF(B$6&gt;0,$B$4-$A12/B$6,0)</f>
        <v/>
      </c>
      <c r="C12" s="9">
        <f>IF(C$6&gt;0,$B$4-$A12/C$6,0)</f>
        <v/>
      </c>
      <c r="D12" s="9">
        <f>IF(D$6&gt;0,$B$4-$A12/D$6,0)</f>
        <v/>
      </c>
      <c r="E12" s="9">
        <f>IF(E$6&gt;0,$B$4-$A12/E$6,0)</f>
        <v/>
      </c>
      <c r="F12" s="9">
        <f>IF(F$6&gt;0,$B$4-$A12/F$6,0)</f>
        <v/>
      </c>
      <c r="G12" s="9">
        <f>IF(G$6&gt;0,$B$4-$A12/G$6,0)</f>
        <v/>
      </c>
      <c r="H12" s="9">
        <f>IF(H$6&gt;0,$B$4-$A12/H$6,0)</f>
        <v/>
      </c>
    </row>
    <row r="13">
      <c r="A13" s="6" t="n">
        <v>1.25</v>
      </c>
      <c r="B13" s="9">
        <f>IF(B$6&gt;0,$B$4-$A13/B$6,0)</f>
        <v/>
      </c>
      <c r="C13" s="9">
        <f>IF(C$6&gt;0,$B$4-$A13/C$6,0)</f>
        <v/>
      </c>
      <c r="D13" s="9">
        <f>IF(D$6&gt;0,$B$4-$A13/D$6,0)</f>
        <v/>
      </c>
      <c r="E13" s="9">
        <f>IF(E$6&gt;0,$B$4-$A13/E$6,0)</f>
        <v/>
      </c>
      <c r="F13" s="9">
        <f>IF(F$6&gt;0,$B$4-$A13/F$6,0)</f>
        <v/>
      </c>
      <c r="G13" s="9">
        <f>IF(G$6&gt;0,$B$4-$A13/G$6,0)</f>
        <v/>
      </c>
      <c r="H13" s="9">
        <f>IF(H$6&gt;0,$B$4-$A13/H$6,0)</f>
        <v/>
      </c>
    </row>
    <row r="14">
      <c r="A14" s="6" t="n">
        <v>1.5</v>
      </c>
      <c r="B14" s="9">
        <f>IF(B$6&gt;0,$B$4-$A14/B$6,0)</f>
        <v/>
      </c>
      <c r="C14" s="9">
        <f>IF(C$6&gt;0,$B$4-$A14/C$6,0)</f>
        <v/>
      </c>
      <c r="D14" s="9">
        <f>IF(D$6&gt;0,$B$4-$A14/D$6,0)</f>
        <v/>
      </c>
      <c r="E14" s="9">
        <f>IF(E$6&gt;0,$B$4-$A14/E$6,0)</f>
        <v/>
      </c>
      <c r="F14" s="9">
        <f>IF(F$6&gt;0,$B$4-$A14/F$6,0)</f>
        <v/>
      </c>
      <c r="G14" s="9">
        <f>IF(G$6&gt;0,$B$4-$A14/G$6,0)</f>
        <v/>
      </c>
      <c r="H14" s="9">
        <f>IF(H$6&gt;0,$B$4-$A14/H$6,0)</f>
        <v/>
      </c>
    </row>
    <row r="17">
      <c r="A17" s="2" t="inlineStr">
        <is>
          <t>Axis values (blue) are editable.</t>
        </is>
      </c>
    </row>
  </sheetData>
  <conditionalFormatting sqref="B7:H14">
    <cfRule type="cellIs" priority="1" operator="greaterThan" dxfId="2">
      <formula>0</formula>
    </cfRule>
    <cfRule type="cellIs" priority="2" operator="lessThanOrEqual" dxfId="3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36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10" customWidth="1" min="11" max="11"/>
    <col width="34" customWidth="1" min="12" max="12"/>
  </cols>
  <sheetData>
    <row r="1">
      <c r="A1" s="1" t="inlineStr">
        <is>
          <t>28-day test log and kill-rule monitor</t>
        </is>
      </c>
    </row>
    <row r="2">
      <c r="A2" s="2" t="inlineStr">
        <is>
          <t>Enter daily numbers in the blue/yellow columns only. Day 1 holds an example row: overwrite it.</t>
        </is>
      </c>
    </row>
    <row r="3">
      <c r="D3" s="11" t="inlineStr">
        <is>
          <t>Kill rule</t>
        </is>
      </c>
      <c r="F3" s="11" t="inlineStr">
        <is>
          <t>Status</t>
        </is>
      </c>
    </row>
    <row r="4">
      <c r="A4" s="5" t="inlineStr">
        <is>
          <t>Cash spent to date (ads + fixed costs)</t>
        </is>
      </c>
      <c r="B4" s="15">
        <f>B5+'Break-Even'!B17</f>
        <v/>
      </c>
      <c r="D4" s="5" t="inlineStr">
        <is>
          <t>1. Cash spent at or above $400</t>
        </is>
      </c>
      <c r="F4" s="20">
        <f>IF(B4&gt;=400,"KILL","ok")</f>
        <v/>
      </c>
    </row>
    <row r="5">
      <c r="A5" s="5" t="inlineStr">
        <is>
          <t>Ad spend to date</t>
        </is>
      </c>
      <c r="B5" s="15">
        <f>SUM(B13:B40)</f>
        <v/>
      </c>
      <c r="D5" s="5" t="inlineStr">
        <is>
          <t>2. $150 ad spend with 0 purchases</t>
        </is>
      </c>
      <c r="F5" s="20">
        <f>IF(AND(B5&gt;=150,B6=0),"KILL","ok")</f>
        <v/>
      </c>
    </row>
    <row r="6">
      <c r="A6" s="5" t="inlineStr">
        <is>
          <t>Purchases to date</t>
        </is>
      </c>
      <c r="B6" s="21">
        <f>SUM(F13:F40)</f>
        <v/>
      </c>
      <c r="D6" s="5" t="inlineStr">
        <is>
          <t>3. 10+ purchases and CPA &gt; 1.5 x M</t>
        </is>
      </c>
      <c r="F6" s="20">
        <f>IF(AND(B6&gt;=10,B7&gt;1.5*'Break-Even'!$B$25),"KILL","ok")</f>
        <v/>
      </c>
    </row>
    <row r="7">
      <c r="A7" s="5" t="inlineStr">
        <is>
          <t>Blended CPA</t>
        </is>
      </c>
      <c r="B7" s="9">
        <f>IF(B6&gt;0,B5/B6,0)</f>
        <v/>
      </c>
      <c r="D7" s="5" t="inlineStr">
        <is>
          <t>4. Refund rate above 10%</t>
        </is>
      </c>
      <c r="F7" s="20">
        <f>IF(B8&gt;0.1,"KILL","ok")</f>
        <v/>
      </c>
    </row>
    <row r="8">
      <c r="A8" s="5" t="inlineStr">
        <is>
          <t>Refund rate (refunded orders / purchases)</t>
        </is>
      </c>
      <c r="B8" s="10">
        <f>IF(B6&gt;0,SUM(J13:J40)/B6,0)</f>
        <v/>
      </c>
      <c r="D8" s="2" t="inlineStr">
        <is>
          <t>Rule 5 (supplier stock-out / slow delivery), payment holds and ad-platform warnings are manual: note them below and stop.</t>
        </is>
      </c>
    </row>
    <row r="9">
      <c r="A9" s="5" t="inlineStr">
        <is>
          <t>Contribution profit to date (purchases x M - ad spend)</t>
        </is>
      </c>
      <c r="B9" s="15">
        <f>B6*'Break-Even'!$B$25-B5</f>
        <v/>
      </c>
      <c r="D9" s="2" t="inlineStr">
        <is>
          <t>Rule 6: the test ends on day 28. Verdict thresholds come from DROPSHIPPING_TEST_PLAN.md.</t>
        </is>
      </c>
    </row>
    <row r="10">
      <c r="A10" s="11" t="inlineStr">
        <is>
          <t>Day-28 verdict</t>
        </is>
      </c>
      <c r="B10" s="20">
        <f>IF(COUNTIF(F4:F7,"KILL")&gt;0,"KILLED",IF(AND(B6&gt;=15,B7&lt;=0.7*'Break-Even'!$B$25,B9&gt;0,B8&lt;0.08),"PASS",IF(AND(B6&gt;=8,B7&lt;='Break-Even'!$B$25),"INCONCLUSIVE","FAIL / IN PROGRESS")))</f>
        <v/>
      </c>
    </row>
    <row r="12">
      <c r="A12" s="22" t="inlineStr">
        <is>
          <t>Day</t>
        </is>
      </c>
      <c r="B12" s="22" t="inlineStr">
        <is>
          <t>Ad spend ($)</t>
        </is>
      </c>
      <c r="C12" s="22" t="inlineStr">
        <is>
          <t>Impressions</t>
        </is>
      </c>
      <c r="D12" s="22" t="inlineStr">
        <is>
          <t>Clicks</t>
        </is>
      </c>
      <c r="E12" s="22" t="inlineStr">
        <is>
          <t>Add-to-cart</t>
        </is>
      </c>
      <c r="F12" s="22" t="inlineStr">
        <is>
          <t>Purchases</t>
        </is>
      </c>
      <c r="G12" s="22" t="inlineStr">
        <is>
          <t>Revenue ($)</t>
        </is>
      </c>
      <c r="H12" s="22" t="inlineStr">
        <is>
          <t>Product+ship cost ($)</t>
        </is>
      </c>
      <c r="I12" s="22" t="inlineStr">
        <is>
          <t>Payment fees ($)</t>
        </is>
      </c>
      <c r="J12" s="22" t="inlineStr">
        <is>
          <t>Refunded orders</t>
        </is>
      </c>
      <c r="K12" s="22" t="inlineStr">
        <is>
          <t>CPA ($)</t>
        </is>
      </c>
      <c r="L12" s="22" t="inlineStr">
        <is>
          <t>Notes</t>
        </is>
      </c>
    </row>
    <row r="13">
      <c r="A13" s="5" t="n">
        <v>1</v>
      </c>
      <c r="B13" s="6" t="n">
        <v>20</v>
      </c>
      <c r="C13" s="23" t="n">
        <v>2500</v>
      </c>
      <c r="D13" s="23" t="n">
        <v>40</v>
      </c>
      <c r="E13" s="24" t="n">
        <v>3</v>
      </c>
      <c r="F13" s="24" t="n">
        <v>0</v>
      </c>
      <c r="G13" s="6" t="n">
        <v>0</v>
      </c>
      <c r="H13" s="6" t="n">
        <v>0</v>
      </c>
      <c r="I13" s="6" t="n">
        <v>0</v>
      </c>
      <c r="J13" s="24" t="n">
        <v>0</v>
      </c>
      <c r="K13" s="9">
        <f>IF(F13&gt;0,B13/F13,0)</f>
        <v/>
      </c>
      <c r="L13" s="25" t="inlineStr">
        <is>
          <t>Example row: replace</t>
        </is>
      </c>
    </row>
    <row r="14">
      <c r="A14" s="5" t="n">
        <v>2</v>
      </c>
      <c r="B14" s="6" t="n"/>
      <c r="C14" s="23" t="n"/>
      <c r="D14" s="23" t="n"/>
      <c r="E14" s="24" t="n"/>
      <c r="F14" s="24" t="n"/>
      <c r="G14" s="6" t="n"/>
      <c r="H14" s="6" t="n"/>
      <c r="I14" s="6" t="n"/>
      <c r="J14" s="24" t="n"/>
      <c r="K14" s="9">
        <f>IF(F14&gt;0,B14/F14,0)</f>
        <v/>
      </c>
      <c r="L14" s="25" t="n"/>
    </row>
    <row r="15">
      <c r="A15" s="5" t="n">
        <v>3</v>
      </c>
      <c r="B15" s="6" t="n"/>
      <c r="C15" s="23" t="n"/>
      <c r="D15" s="23" t="n"/>
      <c r="E15" s="24" t="n"/>
      <c r="F15" s="24" t="n"/>
      <c r="G15" s="6" t="n"/>
      <c r="H15" s="6" t="n"/>
      <c r="I15" s="6" t="n"/>
      <c r="J15" s="24" t="n"/>
      <c r="K15" s="9">
        <f>IF(F15&gt;0,B15/F15,0)</f>
        <v/>
      </c>
      <c r="L15" s="25" t="n"/>
    </row>
    <row r="16">
      <c r="A16" s="5" t="n">
        <v>4</v>
      </c>
      <c r="B16" s="6" t="n"/>
      <c r="C16" s="23" t="n"/>
      <c r="D16" s="23" t="n"/>
      <c r="E16" s="24" t="n"/>
      <c r="F16" s="24" t="n"/>
      <c r="G16" s="6" t="n"/>
      <c r="H16" s="6" t="n"/>
      <c r="I16" s="6" t="n"/>
      <c r="J16" s="24" t="n"/>
      <c r="K16" s="9">
        <f>IF(F16&gt;0,B16/F16,0)</f>
        <v/>
      </c>
      <c r="L16" s="25" t="n"/>
    </row>
    <row r="17">
      <c r="A17" s="5" t="n">
        <v>5</v>
      </c>
      <c r="B17" s="6" t="n"/>
      <c r="C17" s="23" t="n"/>
      <c r="D17" s="23" t="n"/>
      <c r="E17" s="24" t="n"/>
      <c r="F17" s="24" t="n"/>
      <c r="G17" s="6" t="n"/>
      <c r="H17" s="6" t="n"/>
      <c r="I17" s="6" t="n"/>
      <c r="J17" s="24" t="n"/>
      <c r="K17" s="9">
        <f>IF(F17&gt;0,B17/F17,0)</f>
        <v/>
      </c>
      <c r="L17" s="25" t="n"/>
    </row>
    <row r="18">
      <c r="A18" s="5" t="n">
        <v>6</v>
      </c>
      <c r="B18" s="6" t="n"/>
      <c r="C18" s="23" t="n"/>
      <c r="D18" s="23" t="n"/>
      <c r="E18" s="24" t="n"/>
      <c r="F18" s="24" t="n"/>
      <c r="G18" s="6" t="n"/>
      <c r="H18" s="6" t="n"/>
      <c r="I18" s="6" t="n"/>
      <c r="J18" s="24" t="n"/>
      <c r="K18" s="9">
        <f>IF(F18&gt;0,B18/F18,0)</f>
        <v/>
      </c>
      <c r="L18" s="25" t="n"/>
    </row>
    <row r="19">
      <c r="A19" s="5" t="n">
        <v>7</v>
      </c>
      <c r="B19" s="6" t="n"/>
      <c r="C19" s="23" t="n"/>
      <c r="D19" s="23" t="n"/>
      <c r="E19" s="24" t="n"/>
      <c r="F19" s="24" t="n"/>
      <c r="G19" s="6" t="n"/>
      <c r="H19" s="6" t="n"/>
      <c r="I19" s="6" t="n"/>
      <c r="J19" s="24" t="n"/>
      <c r="K19" s="9">
        <f>IF(F19&gt;0,B19/F19,0)</f>
        <v/>
      </c>
      <c r="L19" s="25" t="n"/>
    </row>
    <row r="20">
      <c r="A20" s="5" t="n">
        <v>8</v>
      </c>
      <c r="B20" s="6" t="n"/>
      <c r="C20" s="23" t="n"/>
      <c r="D20" s="23" t="n"/>
      <c r="E20" s="24" t="n"/>
      <c r="F20" s="24" t="n"/>
      <c r="G20" s="6" t="n"/>
      <c r="H20" s="6" t="n"/>
      <c r="I20" s="6" t="n"/>
      <c r="J20" s="24" t="n"/>
      <c r="K20" s="9">
        <f>IF(F20&gt;0,B20/F20,0)</f>
        <v/>
      </c>
      <c r="L20" s="25" t="n"/>
    </row>
    <row r="21">
      <c r="A21" s="5" t="n">
        <v>9</v>
      </c>
      <c r="B21" s="6" t="n"/>
      <c r="C21" s="23" t="n"/>
      <c r="D21" s="23" t="n"/>
      <c r="E21" s="24" t="n"/>
      <c r="F21" s="24" t="n"/>
      <c r="G21" s="6" t="n"/>
      <c r="H21" s="6" t="n"/>
      <c r="I21" s="6" t="n"/>
      <c r="J21" s="24" t="n"/>
      <c r="K21" s="9">
        <f>IF(F21&gt;0,B21/F21,0)</f>
        <v/>
      </c>
      <c r="L21" s="25" t="n"/>
    </row>
    <row r="22">
      <c r="A22" s="5" t="n">
        <v>10</v>
      </c>
      <c r="B22" s="6" t="n"/>
      <c r="C22" s="23" t="n"/>
      <c r="D22" s="23" t="n"/>
      <c r="E22" s="24" t="n"/>
      <c r="F22" s="24" t="n"/>
      <c r="G22" s="6" t="n"/>
      <c r="H22" s="6" t="n"/>
      <c r="I22" s="6" t="n"/>
      <c r="J22" s="24" t="n"/>
      <c r="K22" s="9">
        <f>IF(F22&gt;0,B22/F22,0)</f>
        <v/>
      </c>
      <c r="L22" s="25" t="n"/>
    </row>
    <row r="23">
      <c r="A23" s="5" t="n">
        <v>11</v>
      </c>
      <c r="B23" s="6" t="n"/>
      <c r="C23" s="23" t="n"/>
      <c r="D23" s="23" t="n"/>
      <c r="E23" s="24" t="n"/>
      <c r="F23" s="24" t="n"/>
      <c r="G23" s="6" t="n"/>
      <c r="H23" s="6" t="n"/>
      <c r="I23" s="6" t="n"/>
      <c r="J23" s="24" t="n"/>
      <c r="K23" s="9">
        <f>IF(F23&gt;0,B23/F23,0)</f>
        <v/>
      </c>
      <c r="L23" s="25" t="n"/>
    </row>
    <row r="24">
      <c r="A24" s="5" t="n">
        <v>12</v>
      </c>
      <c r="B24" s="6" t="n"/>
      <c r="C24" s="23" t="n"/>
      <c r="D24" s="23" t="n"/>
      <c r="E24" s="24" t="n"/>
      <c r="F24" s="24" t="n"/>
      <c r="G24" s="6" t="n"/>
      <c r="H24" s="6" t="n"/>
      <c r="I24" s="6" t="n"/>
      <c r="J24" s="24" t="n"/>
      <c r="K24" s="9">
        <f>IF(F24&gt;0,B24/F24,0)</f>
        <v/>
      </c>
      <c r="L24" s="25" t="n"/>
    </row>
    <row r="25">
      <c r="A25" s="5" t="n">
        <v>13</v>
      </c>
      <c r="B25" s="6" t="n"/>
      <c r="C25" s="23" t="n"/>
      <c r="D25" s="23" t="n"/>
      <c r="E25" s="24" t="n"/>
      <c r="F25" s="24" t="n"/>
      <c r="G25" s="6" t="n"/>
      <c r="H25" s="6" t="n"/>
      <c r="I25" s="6" t="n"/>
      <c r="J25" s="24" t="n"/>
      <c r="K25" s="9">
        <f>IF(F25&gt;0,B25/F25,0)</f>
        <v/>
      </c>
      <c r="L25" s="25" t="n"/>
    </row>
    <row r="26">
      <c r="A26" s="5" t="n">
        <v>14</v>
      </c>
      <c r="B26" s="6" t="n"/>
      <c r="C26" s="23" t="n"/>
      <c r="D26" s="23" t="n"/>
      <c r="E26" s="24" t="n"/>
      <c r="F26" s="24" t="n"/>
      <c r="G26" s="6" t="n"/>
      <c r="H26" s="6" t="n"/>
      <c r="I26" s="6" t="n"/>
      <c r="J26" s="24" t="n"/>
      <c r="K26" s="9">
        <f>IF(F26&gt;0,B26/F26,0)</f>
        <v/>
      </c>
      <c r="L26" s="25" t="n"/>
    </row>
    <row r="27">
      <c r="A27" s="5" t="n">
        <v>15</v>
      </c>
      <c r="B27" s="6" t="n"/>
      <c r="C27" s="23" t="n"/>
      <c r="D27" s="23" t="n"/>
      <c r="E27" s="24" t="n"/>
      <c r="F27" s="24" t="n"/>
      <c r="G27" s="6" t="n"/>
      <c r="H27" s="6" t="n"/>
      <c r="I27" s="6" t="n"/>
      <c r="J27" s="24" t="n"/>
      <c r="K27" s="9">
        <f>IF(F27&gt;0,B27/F27,0)</f>
        <v/>
      </c>
      <c r="L27" s="25" t="n"/>
    </row>
    <row r="28">
      <c r="A28" s="5" t="n">
        <v>16</v>
      </c>
      <c r="B28" s="6" t="n"/>
      <c r="C28" s="23" t="n"/>
      <c r="D28" s="23" t="n"/>
      <c r="E28" s="24" t="n"/>
      <c r="F28" s="24" t="n"/>
      <c r="G28" s="6" t="n"/>
      <c r="H28" s="6" t="n"/>
      <c r="I28" s="6" t="n"/>
      <c r="J28" s="24" t="n"/>
      <c r="K28" s="9">
        <f>IF(F28&gt;0,B28/F28,0)</f>
        <v/>
      </c>
      <c r="L28" s="25" t="n"/>
    </row>
    <row r="29">
      <c r="A29" s="5" t="n">
        <v>17</v>
      </c>
      <c r="B29" s="6" t="n"/>
      <c r="C29" s="23" t="n"/>
      <c r="D29" s="23" t="n"/>
      <c r="E29" s="24" t="n"/>
      <c r="F29" s="24" t="n"/>
      <c r="G29" s="6" t="n"/>
      <c r="H29" s="6" t="n"/>
      <c r="I29" s="6" t="n"/>
      <c r="J29" s="24" t="n"/>
      <c r="K29" s="9">
        <f>IF(F29&gt;0,B29/F29,0)</f>
        <v/>
      </c>
      <c r="L29" s="25" t="n"/>
    </row>
    <row r="30">
      <c r="A30" s="5" t="n">
        <v>18</v>
      </c>
      <c r="B30" s="6" t="n"/>
      <c r="C30" s="23" t="n"/>
      <c r="D30" s="23" t="n"/>
      <c r="E30" s="24" t="n"/>
      <c r="F30" s="24" t="n"/>
      <c r="G30" s="6" t="n"/>
      <c r="H30" s="6" t="n"/>
      <c r="I30" s="6" t="n"/>
      <c r="J30" s="24" t="n"/>
      <c r="K30" s="9">
        <f>IF(F30&gt;0,B30/F30,0)</f>
        <v/>
      </c>
      <c r="L30" s="25" t="n"/>
    </row>
    <row r="31">
      <c r="A31" s="5" t="n">
        <v>19</v>
      </c>
      <c r="B31" s="6" t="n"/>
      <c r="C31" s="23" t="n"/>
      <c r="D31" s="23" t="n"/>
      <c r="E31" s="24" t="n"/>
      <c r="F31" s="24" t="n"/>
      <c r="G31" s="6" t="n"/>
      <c r="H31" s="6" t="n"/>
      <c r="I31" s="6" t="n"/>
      <c r="J31" s="24" t="n"/>
      <c r="K31" s="9">
        <f>IF(F31&gt;0,B31/F31,0)</f>
        <v/>
      </c>
      <c r="L31" s="25" t="n"/>
    </row>
    <row r="32">
      <c r="A32" s="5" t="n">
        <v>20</v>
      </c>
      <c r="B32" s="6" t="n"/>
      <c r="C32" s="23" t="n"/>
      <c r="D32" s="23" t="n"/>
      <c r="E32" s="24" t="n"/>
      <c r="F32" s="24" t="n"/>
      <c r="G32" s="6" t="n"/>
      <c r="H32" s="6" t="n"/>
      <c r="I32" s="6" t="n"/>
      <c r="J32" s="24" t="n"/>
      <c r="K32" s="9">
        <f>IF(F32&gt;0,B32/F32,0)</f>
        <v/>
      </c>
      <c r="L32" s="25" t="n"/>
    </row>
    <row r="33">
      <c r="A33" s="5" t="n">
        <v>21</v>
      </c>
      <c r="B33" s="6" t="n"/>
      <c r="C33" s="23" t="n"/>
      <c r="D33" s="23" t="n"/>
      <c r="E33" s="24" t="n"/>
      <c r="F33" s="24" t="n"/>
      <c r="G33" s="6" t="n"/>
      <c r="H33" s="6" t="n"/>
      <c r="I33" s="6" t="n"/>
      <c r="J33" s="24" t="n"/>
      <c r="K33" s="9">
        <f>IF(F33&gt;0,B33/F33,0)</f>
        <v/>
      </c>
      <c r="L33" s="25" t="n"/>
    </row>
    <row r="34">
      <c r="A34" s="5" t="n">
        <v>22</v>
      </c>
      <c r="B34" s="6" t="n"/>
      <c r="C34" s="23" t="n"/>
      <c r="D34" s="23" t="n"/>
      <c r="E34" s="24" t="n"/>
      <c r="F34" s="24" t="n"/>
      <c r="G34" s="6" t="n"/>
      <c r="H34" s="6" t="n"/>
      <c r="I34" s="6" t="n"/>
      <c r="J34" s="24" t="n"/>
      <c r="K34" s="9">
        <f>IF(F34&gt;0,B34/F34,0)</f>
        <v/>
      </c>
      <c r="L34" s="25" t="n"/>
    </row>
    <row r="35">
      <c r="A35" s="5" t="n">
        <v>23</v>
      </c>
      <c r="B35" s="6" t="n"/>
      <c r="C35" s="23" t="n"/>
      <c r="D35" s="23" t="n"/>
      <c r="E35" s="24" t="n"/>
      <c r="F35" s="24" t="n"/>
      <c r="G35" s="6" t="n"/>
      <c r="H35" s="6" t="n"/>
      <c r="I35" s="6" t="n"/>
      <c r="J35" s="24" t="n"/>
      <c r="K35" s="9">
        <f>IF(F35&gt;0,B35/F35,0)</f>
        <v/>
      </c>
      <c r="L35" s="25" t="n"/>
    </row>
    <row r="36">
      <c r="A36" s="5" t="n">
        <v>24</v>
      </c>
      <c r="B36" s="6" t="n"/>
      <c r="C36" s="23" t="n"/>
      <c r="D36" s="23" t="n"/>
      <c r="E36" s="24" t="n"/>
      <c r="F36" s="24" t="n"/>
      <c r="G36" s="6" t="n"/>
      <c r="H36" s="6" t="n"/>
      <c r="I36" s="6" t="n"/>
      <c r="J36" s="24" t="n"/>
      <c r="K36" s="9">
        <f>IF(F36&gt;0,B36/F36,0)</f>
        <v/>
      </c>
      <c r="L36" s="25" t="n"/>
    </row>
    <row r="37">
      <c r="A37" s="5" t="n">
        <v>25</v>
      </c>
      <c r="B37" s="6" t="n"/>
      <c r="C37" s="23" t="n"/>
      <c r="D37" s="23" t="n"/>
      <c r="E37" s="24" t="n"/>
      <c r="F37" s="24" t="n"/>
      <c r="G37" s="6" t="n"/>
      <c r="H37" s="6" t="n"/>
      <c r="I37" s="6" t="n"/>
      <c r="J37" s="24" t="n"/>
      <c r="K37" s="9">
        <f>IF(F37&gt;0,B37/F37,0)</f>
        <v/>
      </c>
      <c r="L37" s="25" t="n"/>
    </row>
    <row r="38">
      <c r="A38" s="5" t="n">
        <v>26</v>
      </c>
      <c r="B38" s="6" t="n"/>
      <c r="C38" s="23" t="n"/>
      <c r="D38" s="23" t="n"/>
      <c r="E38" s="24" t="n"/>
      <c r="F38" s="24" t="n"/>
      <c r="G38" s="6" t="n"/>
      <c r="H38" s="6" t="n"/>
      <c r="I38" s="6" t="n"/>
      <c r="J38" s="24" t="n"/>
      <c r="K38" s="9">
        <f>IF(F38&gt;0,B38/F38,0)</f>
        <v/>
      </c>
      <c r="L38" s="25" t="n"/>
    </row>
    <row r="39">
      <c r="A39" s="5" t="n">
        <v>27</v>
      </c>
      <c r="B39" s="6" t="n"/>
      <c r="C39" s="23" t="n"/>
      <c r="D39" s="23" t="n"/>
      <c r="E39" s="24" t="n"/>
      <c r="F39" s="24" t="n"/>
      <c r="G39" s="6" t="n"/>
      <c r="H39" s="6" t="n"/>
      <c r="I39" s="6" t="n"/>
      <c r="J39" s="24" t="n"/>
      <c r="K39" s="9">
        <f>IF(F39&gt;0,B39/F39,0)</f>
        <v/>
      </c>
      <c r="L39" s="25" t="n"/>
    </row>
    <row r="40">
      <c r="A40" s="5" t="n">
        <v>28</v>
      </c>
      <c r="B40" s="6" t="n"/>
      <c r="C40" s="23" t="n"/>
      <c r="D40" s="23" t="n"/>
      <c r="E40" s="24" t="n"/>
      <c r="F40" s="24" t="n"/>
      <c r="G40" s="6" t="n"/>
      <c r="H40" s="6" t="n"/>
      <c r="I40" s="6" t="n"/>
      <c r="J40" s="24" t="n"/>
      <c r="K40" s="9">
        <f>IF(F40&gt;0,B40/F40,0)</f>
        <v/>
      </c>
      <c r="L40" s="25" t="n"/>
    </row>
  </sheetData>
  <conditionalFormatting sqref="F4:F7">
    <cfRule type="cellIs" priority="1" operator="equal" dxfId="0">
      <formula>"KILL"</formula>
    </cfRule>
  </conditionalFormatting>
  <conditionalFormatting sqref="B10">
    <cfRule type="cellIs" priority="2" operator="equal" dxfId="0">
      <formula>"KILLED"</formula>
    </cfRule>
    <cfRule type="cellIs" priority="3" operator="equal" dxfId="1">
      <formula>"PASS"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Assumptions and sources</t>
        </is>
      </c>
    </row>
    <row r="3">
      <c r="A3" s="5" t="inlineStr">
        <is>
          <t>Source: DROPSHIPPING_TEST_PLAN.md in this repo (kill rules, thresholds, gates). Written before any data.</t>
        </is>
      </c>
    </row>
    <row r="4">
      <c r="A4" s="5" t="inlineStr">
        <is>
          <t>Example inputs (price $45, product $12, shipping $6, CPC $0.60, conversion 2%) are placeholders chosen by the author, not measured or researched.</t>
        </is>
      </c>
    </row>
    <row r="5">
      <c r="A5" s="5" t="inlineStr">
        <is>
          <t>Payment fee 2.9% + $0.30 is a common card-processor rate, not a quote. Check your processor.</t>
        </is>
      </c>
    </row>
    <row r="6">
      <c r="A6" s="5" t="inlineStr">
        <is>
          <t>Refund/chargeback reserve of 5% is a plan assumption. Replace it with your actual rate once orders arrive.</t>
        </is>
      </c>
    </row>
    <row r="7">
      <c r="A7" s="5" t="inlineStr">
        <is>
          <t>CPC and conversion are the biggest unknowns. Replace them with real test numbers after Phase 1.</t>
        </is>
      </c>
    </row>
    <row r="8">
      <c r="A8" s="5" t="inlineStr">
        <is>
          <t>Benchmarks from the earlier web search (vendor blogs, not independent): net margins 5-20%, ad cost $8-15 per order.</t>
        </is>
      </c>
    </row>
    <row r="9">
      <c r="A9" s="5" t="inlineStr">
        <is>
          <t>Taxes, shipping-tax rules and platform subscription fees are not modelled. Add them to 'Other per-order cost' or Fixed costs.</t>
        </is>
      </c>
    </row>
    <row r="10">
      <c r="A10" s="5" t="inlineStr">
        <is>
          <t>Tab guide: Break-Even = inputs and gates. Sensitivity = profit grid. Test Log = daily log with kill-rule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2026-10-13T20:55:43Z</dcterms:created>
  <dcterms:modified xsi:type="dcterms:W3CDTF">2026-10-13T20:55:43Z</dcterms:modified>
</cp:coreProperties>
</file>