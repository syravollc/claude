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Projection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0.0%;(0.0%);-"/>
    <numFmt numFmtId="166" formatCode="$#,##0.00;($#,##0.00);-"/>
    <numFmt numFmtId="167" formatCode="$#,##0;($#,##0);-"/>
    <numFmt numFmtId="168" formatCode="#,##0.0;(#,##0.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7" fontId="7" fillId="0" borderId="1" pivotButton="0" quotePrefix="0" xfId="0"/>
    <xf numFmtId="0" fontId="6" fillId="0" borderId="0" pivotButton="0" quotePrefix="0" xfId="0"/>
    <xf numFmtId="167" fontId="6" fillId="0" borderId="1" pivotButton="0" quotePrefix="0" xfId="0"/>
    <xf numFmtId="164" fontId="7" fillId="0" borderId="1" pivotButton="0" quotePrefix="0" xfId="0"/>
    <xf numFmtId="166" fontId="4" fillId="0" borderId="1" pivotButton="0" quotePrefix="0" xfId="0"/>
    <xf numFmtId="0" fontId="4" fillId="0" borderId="1" applyAlignment="1" pivotButton="0" quotePrefix="0" xfId="0">
      <alignment horizontal="right"/>
    </xf>
    <xf numFmtId="0" fontId="3" fillId="2" borderId="0" pivotButton="0" quotePrefix="0" xfId="0"/>
    <xf numFmtId="0" fontId="0" fillId="2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" fontId="5" fillId="3" borderId="1" pivotButton="0" quotePrefix="0" xfId="0"/>
    <xf numFmtId="167" fontId="5" fillId="3" borderId="1" pivotButton="0" quotePrefix="0" xfId="0"/>
    <xf numFmtId="168" fontId="5" fillId="3" borderId="1" pivotButton="0" quotePrefix="0" xfId="0"/>
    <xf numFmtId="166" fontId="6" fillId="0" borderId="1" pivotButton="0" quotePrefix="0" xfId="0"/>
    <xf numFmtId="0" fontId="6" fillId="4" borderId="0" applyAlignment="1" pivotButton="0" quotePrefix="0" xfId="0">
      <alignment horizontal="center" wrapText="1"/>
    </xf>
    <xf numFmtId="1" fontId="4" fillId="0" borderId="1" pivotButton="0" quotePrefix="0" xfId="0"/>
    <xf numFmtId="164" fontId="4" fillId="0" borderId="1" pivotButton="0" quotePrefix="0" xfId="0"/>
    <xf numFmtId="168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Income scenarios: summary</t>
        </is>
      </c>
    </row>
    <row r="2">
      <c r="A2" s="2" t="inlineStr">
        <is>
          <t>Estimates from my own assumptions, not forecasts. Replace the Assumptions with your real numbers as you learn them.</t>
        </is>
      </c>
    </row>
    <row r="4">
      <c r="A4" s="3" t="inlineStr"/>
      <c r="B4" s="3" t="inlineStr">
        <is>
          <t>Pessimistic</t>
        </is>
      </c>
      <c r="C4" s="3" t="inlineStr">
        <is>
          <t>Moderate</t>
        </is>
      </c>
      <c r="D4" s="3" t="inlineStr">
        <is>
          <t>Strong</t>
        </is>
      </c>
    </row>
    <row r="5">
      <c r="A5" s="4" t="inlineStr">
        <is>
          <t>Total net, month 3</t>
        </is>
      </c>
      <c r="B5" s="5">
        <f>Projection!J8</f>
        <v/>
      </c>
      <c r="C5" s="5">
        <f>Projection!J25</f>
        <v/>
      </c>
      <c r="D5" s="5">
        <f>Projection!J42</f>
        <v/>
      </c>
    </row>
    <row r="6">
      <c r="A6" s="4" t="inlineStr">
        <is>
          <t>Total net, month 6</t>
        </is>
      </c>
      <c r="B6" s="5">
        <f>Projection!J11</f>
        <v/>
      </c>
      <c r="C6" s="5">
        <f>Projection!J28</f>
        <v/>
      </c>
      <c r="D6" s="5">
        <f>Projection!J45</f>
        <v/>
      </c>
    </row>
    <row r="7">
      <c r="A7" s="4" t="inlineStr">
        <is>
          <t>Total net, month 9</t>
        </is>
      </c>
      <c r="B7" s="5">
        <f>Projection!J14</f>
        <v/>
      </c>
      <c r="C7" s="5">
        <f>Projection!J31</f>
        <v/>
      </c>
      <c r="D7" s="5">
        <f>Projection!J48</f>
        <v/>
      </c>
    </row>
    <row r="8">
      <c r="A8" s="6" t="inlineStr">
        <is>
          <t>Total net, month 12</t>
        </is>
      </c>
      <c r="B8" s="7">
        <f>Projection!J17</f>
        <v/>
      </c>
      <c r="C8" s="7">
        <f>Projection!J34</f>
        <v/>
      </c>
      <c r="D8" s="7">
        <f>Projection!J51</f>
        <v/>
      </c>
    </row>
    <row r="9">
      <c r="A9" s="6" t="inlineStr">
        <is>
          <t>Cumulative net after 12 months</t>
        </is>
      </c>
      <c r="B9" s="7">
        <f>Projection!K17</f>
        <v/>
      </c>
      <c r="C9" s="7">
        <f>Projection!K34</f>
        <v/>
      </c>
      <c r="D9" s="7">
        <f>Projection!K51</f>
        <v/>
      </c>
    </row>
    <row r="10">
      <c r="A10" s="4" t="inlineStr">
        <is>
          <t>Email list size, month 12</t>
        </is>
      </c>
      <c r="B10" s="8">
        <f>Projection!C17</f>
        <v/>
      </c>
      <c r="C10" s="8">
        <f>Projection!C34</f>
        <v/>
      </c>
      <c r="D10" s="8">
        <f>Projection!C51</f>
        <v/>
      </c>
    </row>
    <row r="11">
      <c r="A11" s="4" t="inlineStr">
        <is>
          <t>Net per hour worked, month 12</t>
        </is>
      </c>
      <c r="B11" s="9">
        <f>IF(Assumptions!B33&gt;0,B8/(Assumptions!B33*52/12),0)</f>
        <v/>
      </c>
      <c r="C11" s="9">
        <f>IF(Assumptions!C33&gt;0,C8/(Assumptions!C33*52/12),0)</f>
        <v/>
      </c>
      <c r="D11" s="9">
        <f>IF(Assumptions!D33&gt;0,D8/(Assumptions!D33*52/12),0)</f>
        <v/>
      </c>
    </row>
    <row r="12">
      <c r="A12" s="4" t="inlineStr">
        <is>
          <t>Months to reach $1,000 a month</t>
        </is>
      </c>
      <c r="B12" s="10">
        <f>IF(COUNT(Projection!L6:L17)=0,"not in 12 months",MIN(Projection!L6:L17))</f>
        <v/>
      </c>
      <c r="C12" s="10">
        <f>IF(COUNT(Projection!L23:L34)=0,"not in 12 months",MIN(Projection!L23:L34))</f>
        <v/>
      </c>
      <c r="D12" s="10">
        <f>IF(COUNT(Projection!L40:L51)=0,"not in 12 months",MIN(Projection!L40:L51))</f>
        <v/>
      </c>
    </row>
    <row r="14">
      <c r="A14" s="6" t="inlineStr">
        <is>
          <t>My rough judgment of likelihood (not a statistic)</t>
        </is>
      </c>
    </row>
    <row r="15">
      <c r="A15" s="2" t="inlineStr">
        <is>
          <t>Pessimistic: roughly half or more of outcomes. Moderate: plausible with steady posting and real conversations. Strong: needs something to take off. $10,000 a month is not reached in any scenario here.</t>
        </is>
      </c>
    </row>
    <row r="17">
      <c r="A17" s="2" t="inlineStr">
        <is>
          <t>Not modelled: taxes, platform changes, algorithm changes, time off, your hourly alternatives.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58" customWidth="1" min="5" max="5"/>
  </cols>
  <sheetData>
    <row r="1">
      <c r="A1" s="1" t="inlineStr">
        <is>
          <t>Income scenarios: assumptions</t>
        </is>
      </c>
    </row>
    <row r="2">
      <c r="A2" s="2" t="inlineStr">
        <is>
          <t>Blue on yellow = inputs (all are my guesses, not measured data). Everything else is a formula. Change a value and the other tabs update.</t>
        </is>
      </c>
    </row>
    <row r="4">
      <c r="A4" s="11" t="inlineStr">
        <is>
          <t>SCENARIOS</t>
        </is>
      </c>
      <c r="B4" s="11" t="inlineStr">
        <is>
          <t>Pessimistic</t>
        </is>
      </c>
      <c r="C4" s="11" t="inlineStr">
        <is>
          <t>Moderate</t>
        </is>
      </c>
      <c r="D4" s="11" t="inlineStr">
        <is>
          <t>Strong</t>
        </is>
      </c>
      <c r="E4" s="11" t="inlineStr">
        <is>
          <t>Notes</t>
        </is>
      </c>
    </row>
    <row r="5">
      <c r="A5" s="11" t="inlineStr">
        <is>
          <t>AUDIENCE</t>
        </is>
      </c>
      <c r="B5" s="12" t="n"/>
      <c r="C5" s="12" t="n"/>
      <c r="D5" s="12" t="n"/>
      <c r="E5" s="12" t="n"/>
    </row>
    <row r="6">
      <c r="A6" s="4" t="inlineStr">
        <is>
          <t>New email subscribers per month</t>
        </is>
      </c>
      <c r="B6" s="13" t="n">
        <v>30</v>
      </c>
      <c r="C6" s="13" t="n">
        <v>100</v>
      </c>
      <c r="D6" s="13" t="n">
        <v>300</v>
      </c>
      <c r="E6" s="2" t="inlineStr">
        <is>
          <t>Biggest unknown. Depends on posting and community</t>
        </is>
      </c>
    </row>
    <row r="7">
      <c r="A7" s="4" t="inlineStr">
        <is>
          <t>Monthly list churn (unsubscribes)</t>
        </is>
      </c>
      <c r="B7" s="14" t="n">
        <v>0.02</v>
      </c>
      <c r="C7" s="14" t="n">
        <v>0.02</v>
      </c>
      <c r="D7" s="14" t="n">
        <v>0.02</v>
      </c>
      <c r="E7" s="2" t="inlineStr">
        <is>
          <t>Assumption</t>
        </is>
      </c>
    </row>
    <row r="9">
      <c r="A9" s="11" t="inlineStr">
        <is>
          <t>GUIDE</t>
        </is>
      </c>
      <c r="B9" s="12" t="n"/>
      <c r="C9" s="12" t="n"/>
      <c r="D9" s="12" t="n"/>
      <c r="E9" s="12" t="n"/>
    </row>
    <row r="10">
      <c r="A10" s="4" t="inlineStr">
        <is>
          <t>Guide price</t>
        </is>
      </c>
      <c r="B10" s="15" t="n">
        <v>19</v>
      </c>
      <c r="C10" s="15" t="n">
        <v>19</v>
      </c>
      <c r="D10" s="15" t="n">
        <v>19</v>
      </c>
      <c r="E10" s="2" t="inlineStr">
        <is>
          <t>Price hypothesis; test it</t>
        </is>
      </c>
    </row>
    <row r="11">
      <c r="A11" s="4" t="inlineStr">
        <is>
          <t>Platform fee, percent</t>
        </is>
      </c>
      <c r="B11" s="14" t="n">
        <v>0.05</v>
      </c>
      <c r="C11" s="14" t="n">
        <v>0.05</v>
      </c>
      <c r="D11" s="14" t="n">
        <v>0.05</v>
      </c>
      <c r="E11" s="2" t="inlineStr">
        <is>
          <t>Payhip free plan reported 5%; verify</t>
        </is>
      </c>
    </row>
    <row r="12">
      <c r="A12" s="4" t="inlineStr">
        <is>
          <t>Payment fee, percent</t>
        </is>
      </c>
      <c r="B12" s="14" t="n">
        <v>0.029</v>
      </c>
      <c r="C12" s="14" t="n">
        <v>0.029</v>
      </c>
      <c r="D12" s="14" t="n">
        <v>0.029</v>
      </c>
      <c r="E12" s="2" t="inlineStr">
        <is>
          <t>Typical card rate; verify</t>
        </is>
      </c>
    </row>
    <row r="13">
      <c r="A13" s="4" t="inlineStr">
        <is>
          <t>Payment fee, fixed per sale</t>
        </is>
      </c>
      <c r="B13" s="15" t="n">
        <v>0.3</v>
      </c>
      <c r="C13" s="15" t="n">
        <v>0.3</v>
      </c>
      <c r="D13" s="15" t="n">
        <v>0.3</v>
      </c>
      <c r="E13" s="2" t="inlineStr">
        <is>
          <t>Typical; verify</t>
        </is>
      </c>
    </row>
    <row r="14">
      <c r="A14" s="4" t="inlineStr">
        <is>
          <t>Refund reserve, percent</t>
        </is>
      </c>
      <c r="B14" s="14" t="n">
        <v>0.05</v>
      </c>
      <c r="C14" s="14" t="n">
        <v>0.05</v>
      </c>
      <c r="D14" s="14" t="n">
        <v>0.05</v>
      </c>
      <c r="E14" s="2" t="inlineStr">
        <is>
          <t>Assumption</t>
        </is>
      </c>
    </row>
    <row r="15">
      <c r="A15" s="4" t="inlineStr">
        <is>
          <t>Guide launch month (first sales)</t>
        </is>
      </c>
      <c r="B15" s="16" t="n">
        <v>4</v>
      </c>
      <c r="C15" s="16" t="n">
        <v>4</v>
      </c>
      <c r="D15" s="16" t="n">
        <v>4</v>
      </c>
      <c r="E15" s="2" t="inlineStr">
        <is>
          <t>Months after you start</t>
        </is>
      </c>
    </row>
    <row r="16">
      <c r="A16" s="4" t="inlineStr">
        <is>
          <t>Guide buyers per 1,000 list members per month</t>
        </is>
      </c>
      <c r="B16" s="13" t="n">
        <v>10</v>
      </c>
      <c r="C16" s="13" t="n">
        <v>30</v>
      </c>
      <c r="D16" s="13" t="n">
        <v>50</v>
      </c>
      <c r="E16" s="2" t="inlineStr">
        <is>
          <t>Assumption: 1% / 3% / 5% of the list per month</t>
        </is>
      </c>
    </row>
    <row r="18">
      <c r="A18" s="11" t="inlineStr">
        <is>
          <t>PAID 1-ON-1 SESSIONS (free chats earn nothing)</t>
        </is>
      </c>
      <c r="B18" s="12" t="n"/>
      <c r="C18" s="12" t="n"/>
      <c r="D18" s="12" t="n"/>
      <c r="E18" s="12" t="n"/>
    </row>
    <row r="19">
      <c r="A19" s="4" t="inlineStr">
        <is>
          <t>First month you charge</t>
        </is>
      </c>
      <c r="B19" s="16" t="n">
        <v>5</v>
      </c>
      <c r="C19" s="16" t="n">
        <v>5</v>
      </c>
      <c r="D19" s="16" t="n">
        <v>4</v>
      </c>
      <c r="E19" s="2" t="inlineStr">
        <is>
          <t>Free-only mode: charge after about 5 free chats</t>
        </is>
      </c>
    </row>
    <row r="20">
      <c r="A20" s="4" t="inlineStr">
        <is>
          <t>Paid sessions per month</t>
        </is>
      </c>
      <c r="B20" s="13" t="n">
        <v>1</v>
      </c>
      <c r="C20" s="13" t="n">
        <v>6</v>
      </c>
      <c r="D20" s="13" t="n">
        <v>12</v>
      </c>
      <c r="E20" s="2" t="inlineStr">
        <is>
          <t>Capped by your hours</t>
        </is>
      </c>
    </row>
    <row r="21">
      <c r="A21" s="4" t="inlineStr">
        <is>
          <t>Session price</t>
        </is>
      </c>
      <c r="B21" s="17" t="n">
        <v>75</v>
      </c>
      <c r="C21" s="17" t="n">
        <v>100</v>
      </c>
      <c r="D21" s="17" t="n">
        <v>125</v>
      </c>
      <c r="E21" s="2" t="inlineStr">
        <is>
          <t>Price hypothesis; check the market</t>
        </is>
      </c>
    </row>
    <row r="22">
      <c r="A22" s="4" t="inlineStr">
        <is>
          <t>Session fee, percent (card fees)</t>
        </is>
      </c>
      <c r="B22" s="14" t="n">
        <v>0.03</v>
      </c>
      <c r="C22" s="14" t="n">
        <v>0.03</v>
      </c>
      <c r="D22" s="14" t="n">
        <v>0.03</v>
      </c>
      <c r="E22" s="2" t="inlineStr">
        <is>
          <t>Assumption</t>
        </is>
      </c>
    </row>
    <row r="24">
      <c r="A24" s="11" t="inlineStr">
        <is>
          <t>COHORT / GROUP COURSE</t>
        </is>
      </c>
      <c r="B24" s="12" t="n"/>
      <c r="C24" s="12" t="n"/>
      <c r="D24" s="12" t="n"/>
      <c r="E24" s="12" t="n"/>
    </row>
    <row r="25">
      <c r="A25" s="4" t="inlineStr">
        <is>
          <t>First cohort month</t>
        </is>
      </c>
      <c r="B25" s="16" t="n">
        <v>0</v>
      </c>
      <c r="C25" s="16" t="n">
        <v>7</v>
      </c>
      <c r="D25" s="16" t="n">
        <v>7</v>
      </c>
      <c r="E25" s="2" t="inlineStr">
        <is>
          <t>0 = no cohort in the first 12 months</t>
        </is>
      </c>
    </row>
    <row r="26">
      <c r="A26" s="4" t="inlineStr">
        <is>
          <t>Second cohort month</t>
        </is>
      </c>
      <c r="B26" s="16" t="n">
        <v>0</v>
      </c>
      <c r="C26" s="16" t="n">
        <v>10</v>
      </c>
      <c r="D26" s="16" t="n">
        <v>10</v>
      </c>
      <c r="E26" s="2" t="inlineStr">
        <is>
          <t>0 = none</t>
        </is>
      </c>
    </row>
    <row r="27">
      <c r="A27" s="4" t="inlineStr">
        <is>
          <t>Students per cohort</t>
        </is>
      </c>
      <c r="B27" s="13" t="n">
        <v>0</v>
      </c>
      <c r="C27" s="13" t="n">
        <v>10</v>
      </c>
      <c r="D27" s="13" t="n">
        <v>25</v>
      </c>
      <c r="E27" s="2" t="inlineStr">
        <is>
          <t>Assumption</t>
        </is>
      </c>
    </row>
    <row r="28">
      <c r="A28" s="4" t="inlineStr">
        <is>
          <t>Cohort price per student</t>
        </is>
      </c>
      <c r="B28" s="17" t="n">
        <v>149</v>
      </c>
      <c r="C28" s="17" t="n">
        <v>199</v>
      </c>
      <c r="D28" s="17" t="n">
        <v>249</v>
      </c>
      <c r="E28" s="2" t="inlineStr">
        <is>
          <t>Price hypothesis</t>
        </is>
      </c>
    </row>
    <row r="29">
      <c r="A29" s="4" t="inlineStr">
        <is>
          <t>Cohort platform and card fees, percent</t>
        </is>
      </c>
      <c r="B29" s="14" t="n">
        <v>0.1</v>
      </c>
      <c r="C29" s="14" t="n">
        <v>0.1</v>
      </c>
      <c r="D29" s="14" t="n">
        <v>0.1</v>
      </c>
      <c r="E29" s="2" t="inlineStr">
        <is>
          <t>Assumption</t>
        </is>
      </c>
    </row>
    <row r="31">
      <c r="A31" s="11" t="inlineStr">
        <is>
          <t>COSTS AND TIME</t>
        </is>
      </c>
      <c r="B31" s="12" t="n"/>
      <c r="C31" s="12" t="n"/>
      <c r="D31" s="12" t="n"/>
      <c r="E31" s="12" t="n"/>
    </row>
    <row r="32">
      <c r="A32" s="4" t="inlineStr">
        <is>
          <t>Monthly costs (free-only mode = 0)</t>
        </is>
      </c>
      <c r="B32" s="17" t="n">
        <v>0</v>
      </c>
      <c r="C32" s="17" t="n">
        <v>0</v>
      </c>
      <c r="D32" s="17" t="n">
        <v>0</v>
      </c>
      <c r="E32" s="2" t="inlineStr">
        <is>
          <t>Add costs if you upgrade tools</t>
        </is>
      </c>
    </row>
    <row r="33">
      <c r="A33" s="4" t="inlineStr">
        <is>
          <t>Hours per week you work on it</t>
        </is>
      </c>
      <c r="B33" s="18" t="n">
        <v>6</v>
      </c>
      <c r="C33" s="18" t="n">
        <v>6</v>
      </c>
      <c r="D33" s="18" t="n">
        <v>6</v>
      </c>
      <c r="E33" s="2" t="inlineStr">
        <is>
          <t>Plan: 5-8</t>
        </is>
      </c>
    </row>
    <row r="35">
      <c r="A35" s="11" t="inlineStr">
        <is>
          <t>DERIVED</t>
        </is>
      </c>
      <c r="B35" s="12" t="n"/>
      <c r="C35" s="12" t="n"/>
      <c r="D35" s="12" t="n"/>
      <c r="E35" s="12" t="n"/>
    </row>
    <row r="36">
      <c r="A36" s="6" t="inlineStr">
        <is>
          <t>Net per guide sale</t>
        </is>
      </c>
      <c r="B36" s="19">
        <f>B10*(1-B11-B12-B14)-B13</f>
        <v/>
      </c>
      <c r="C36" s="19">
        <f>C10*(1-C11-C12-C14)-C13</f>
        <v/>
      </c>
      <c r="D36" s="19">
        <f>D10*(1-D11-D12-D14)-D13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Monthly projection (12 months)</t>
        </is>
      </c>
    </row>
    <row r="2">
      <c r="A2" s="2" t="inlineStr">
        <is>
          <t>All formulas. Driven by the Assumptions tab.</t>
        </is>
      </c>
    </row>
    <row r="4">
      <c r="A4" s="11" t="inlineStr">
        <is>
          <t>PESSIMISTIC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>
      <c r="A5" s="20" t="inlineStr">
        <is>
          <t>Month</t>
        </is>
      </c>
      <c r="B5" s="20" t="inlineStr">
        <is>
          <t>New subs</t>
        </is>
      </c>
      <c r="C5" s="20" t="inlineStr">
        <is>
          <t>List size</t>
        </is>
      </c>
      <c r="D5" s="20" t="inlineStr">
        <is>
          <t>Guide sales</t>
        </is>
      </c>
      <c r="E5" s="20" t="inlineStr">
        <is>
          <t>Guide net $</t>
        </is>
      </c>
      <c r="F5" s="20" t="inlineStr">
        <is>
          <t>Paid sessions</t>
        </is>
      </c>
      <c r="G5" s="20" t="inlineStr">
        <is>
          <t>Session net $</t>
        </is>
      </c>
      <c r="H5" s="20" t="inlineStr">
        <is>
          <t>Cohort net $</t>
        </is>
      </c>
      <c r="I5" s="20" t="inlineStr">
        <is>
          <t>Costs $</t>
        </is>
      </c>
      <c r="J5" s="20" t="inlineStr">
        <is>
          <t>Total net $</t>
        </is>
      </c>
      <c r="K5" s="20" t="inlineStr">
        <is>
          <t>Cumulative $</t>
        </is>
      </c>
      <c r="L5" s="20" t="inlineStr">
        <is>
          <t>Month if net &gt;= $1,000</t>
        </is>
      </c>
    </row>
    <row r="6">
      <c r="A6" s="21" t="n">
        <v>1</v>
      </c>
      <c r="B6" s="22">
        <f>Assumptions!B$6</f>
        <v/>
      </c>
      <c r="C6" s="22">
        <f>B6</f>
        <v/>
      </c>
      <c r="D6" s="23">
        <f>IF(A6&gt;=Assumptions!B$15,C6*Assumptions!B$16/1000,0)</f>
        <v/>
      </c>
      <c r="E6" s="24">
        <f>D6*Assumptions!B$36</f>
        <v/>
      </c>
      <c r="F6" s="22">
        <f>IF(A6&gt;=Assumptions!B$19,Assumptions!B$20,0)</f>
        <v/>
      </c>
      <c r="G6" s="24">
        <f>F6*Assumptions!B$21*(1-Assumptions!B$22)</f>
        <v/>
      </c>
      <c r="H6" s="24">
        <f>IF(OR(A6=Assumptions!B$25,A6=Assumptions!B$26),Assumptions!B$27*Assumptions!B$28*(1-Assumptions!B$29),0)</f>
        <v/>
      </c>
      <c r="I6" s="24">
        <f>Assumptions!B$32</f>
        <v/>
      </c>
      <c r="J6" s="7">
        <f>E6+G6+H6-I6</f>
        <v/>
      </c>
      <c r="K6" s="24">
        <f>J6</f>
        <v/>
      </c>
      <c r="L6" s="21">
        <f>IF(J6&gt;=1000,A6,"")</f>
        <v/>
      </c>
    </row>
    <row r="7">
      <c r="A7" s="21" t="n">
        <v>2</v>
      </c>
      <c r="B7" s="22">
        <f>Assumptions!B$6</f>
        <v/>
      </c>
      <c r="C7" s="22">
        <f>C6*(1-Assumptions!B$7)+B7</f>
        <v/>
      </c>
      <c r="D7" s="23">
        <f>IF(A7&gt;=Assumptions!B$15,C7*Assumptions!B$16/1000,0)</f>
        <v/>
      </c>
      <c r="E7" s="24">
        <f>D7*Assumptions!B$36</f>
        <v/>
      </c>
      <c r="F7" s="22">
        <f>IF(A7&gt;=Assumptions!B$19,Assumptions!B$20,0)</f>
        <v/>
      </c>
      <c r="G7" s="24">
        <f>F7*Assumptions!B$21*(1-Assumptions!B$22)</f>
        <v/>
      </c>
      <c r="H7" s="24">
        <f>IF(OR(A7=Assumptions!B$25,A7=Assumptions!B$26),Assumptions!B$27*Assumptions!B$28*(1-Assumptions!B$29),0)</f>
        <v/>
      </c>
      <c r="I7" s="24">
        <f>Assumptions!B$32</f>
        <v/>
      </c>
      <c r="J7" s="7">
        <f>E7+G7+H7-I7</f>
        <v/>
      </c>
      <c r="K7" s="24">
        <f>K6+J7</f>
        <v/>
      </c>
      <c r="L7" s="21">
        <f>IF(J7&gt;=1000,A7,"")</f>
        <v/>
      </c>
    </row>
    <row r="8">
      <c r="A8" s="21" t="n">
        <v>3</v>
      </c>
      <c r="B8" s="22">
        <f>Assumptions!B$6</f>
        <v/>
      </c>
      <c r="C8" s="22">
        <f>C7*(1-Assumptions!B$7)+B8</f>
        <v/>
      </c>
      <c r="D8" s="23">
        <f>IF(A8&gt;=Assumptions!B$15,C8*Assumptions!B$16/1000,0)</f>
        <v/>
      </c>
      <c r="E8" s="24">
        <f>D8*Assumptions!B$36</f>
        <v/>
      </c>
      <c r="F8" s="22">
        <f>IF(A8&gt;=Assumptions!B$19,Assumptions!B$20,0)</f>
        <v/>
      </c>
      <c r="G8" s="24">
        <f>F8*Assumptions!B$21*(1-Assumptions!B$22)</f>
        <v/>
      </c>
      <c r="H8" s="24">
        <f>IF(OR(A8=Assumptions!B$25,A8=Assumptions!B$26),Assumptions!B$27*Assumptions!B$28*(1-Assumptions!B$29),0)</f>
        <v/>
      </c>
      <c r="I8" s="24">
        <f>Assumptions!B$32</f>
        <v/>
      </c>
      <c r="J8" s="7">
        <f>E8+G8+H8-I8</f>
        <v/>
      </c>
      <c r="K8" s="24">
        <f>K7+J8</f>
        <v/>
      </c>
      <c r="L8" s="21">
        <f>IF(J8&gt;=1000,A8,"")</f>
        <v/>
      </c>
    </row>
    <row r="9">
      <c r="A9" s="21" t="n">
        <v>4</v>
      </c>
      <c r="B9" s="22">
        <f>Assumptions!B$6</f>
        <v/>
      </c>
      <c r="C9" s="22">
        <f>C8*(1-Assumptions!B$7)+B9</f>
        <v/>
      </c>
      <c r="D9" s="23">
        <f>IF(A9&gt;=Assumptions!B$15,C9*Assumptions!B$16/1000,0)</f>
        <v/>
      </c>
      <c r="E9" s="24">
        <f>D9*Assumptions!B$36</f>
        <v/>
      </c>
      <c r="F9" s="22">
        <f>IF(A9&gt;=Assumptions!B$19,Assumptions!B$20,0)</f>
        <v/>
      </c>
      <c r="G9" s="24">
        <f>F9*Assumptions!B$21*(1-Assumptions!B$22)</f>
        <v/>
      </c>
      <c r="H9" s="24">
        <f>IF(OR(A9=Assumptions!B$25,A9=Assumptions!B$26),Assumptions!B$27*Assumptions!B$28*(1-Assumptions!B$29),0)</f>
        <v/>
      </c>
      <c r="I9" s="24">
        <f>Assumptions!B$32</f>
        <v/>
      </c>
      <c r="J9" s="7">
        <f>E9+G9+H9-I9</f>
        <v/>
      </c>
      <c r="K9" s="24">
        <f>K8+J9</f>
        <v/>
      </c>
      <c r="L9" s="21">
        <f>IF(J9&gt;=1000,A9,"")</f>
        <v/>
      </c>
    </row>
    <row r="10">
      <c r="A10" s="21" t="n">
        <v>5</v>
      </c>
      <c r="B10" s="22">
        <f>Assumptions!B$6</f>
        <v/>
      </c>
      <c r="C10" s="22">
        <f>C9*(1-Assumptions!B$7)+B10</f>
        <v/>
      </c>
      <c r="D10" s="23">
        <f>IF(A10&gt;=Assumptions!B$15,C10*Assumptions!B$16/1000,0)</f>
        <v/>
      </c>
      <c r="E10" s="24">
        <f>D10*Assumptions!B$36</f>
        <v/>
      </c>
      <c r="F10" s="22">
        <f>IF(A10&gt;=Assumptions!B$19,Assumptions!B$20,0)</f>
        <v/>
      </c>
      <c r="G10" s="24">
        <f>F10*Assumptions!B$21*(1-Assumptions!B$22)</f>
        <v/>
      </c>
      <c r="H10" s="24">
        <f>IF(OR(A10=Assumptions!B$25,A10=Assumptions!B$26),Assumptions!B$27*Assumptions!B$28*(1-Assumptions!B$29),0)</f>
        <v/>
      </c>
      <c r="I10" s="24">
        <f>Assumptions!B$32</f>
        <v/>
      </c>
      <c r="J10" s="7">
        <f>E10+G10+H10-I10</f>
        <v/>
      </c>
      <c r="K10" s="24">
        <f>K9+J10</f>
        <v/>
      </c>
      <c r="L10" s="21">
        <f>IF(J10&gt;=1000,A10,"")</f>
        <v/>
      </c>
    </row>
    <row r="11">
      <c r="A11" s="21" t="n">
        <v>6</v>
      </c>
      <c r="B11" s="22">
        <f>Assumptions!B$6</f>
        <v/>
      </c>
      <c r="C11" s="22">
        <f>C10*(1-Assumptions!B$7)+B11</f>
        <v/>
      </c>
      <c r="D11" s="23">
        <f>IF(A11&gt;=Assumptions!B$15,C11*Assumptions!B$16/1000,0)</f>
        <v/>
      </c>
      <c r="E11" s="24">
        <f>D11*Assumptions!B$36</f>
        <v/>
      </c>
      <c r="F11" s="22">
        <f>IF(A11&gt;=Assumptions!B$19,Assumptions!B$20,0)</f>
        <v/>
      </c>
      <c r="G11" s="24">
        <f>F11*Assumptions!B$21*(1-Assumptions!B$22)</f>
        <v/>
      </c>
      <c r="H11" s="24">
        <f>IF(OR(A11=Assumptions!B$25,A11=Assumptions!B$26),Assumptions!B$27*Assumptions!B$28*(1-Assumptions!B$29),0)</f>
        <v/>
      </c>
      <c r="I11" s="24">
        <f>Assumptions!B$32</f>
        <v/>
      </c>
      <c r="J11" s="7">
        <f>E11+G11+H11-I11</f>
        <v/>
      </c>
      <c r="K11" s="24">
        <f>K10+J11</f>
        <v/>
      </c>
      <c r="L11" s="21">
        <f>IF(J11&gt;=1000,A11,"")</f>
        <v/>
      </c>
    </row>
    <row r="12">
      <c r="A12" s="21" t="n">
        <v>7</v>
      </c>
      <c r="B12" s="22">
        <f>Assumptions!B$6</f>
        <v/>
      </c>
      <c r="C12" s="22">
        <f>C11*(1-Assumptions!B$7)+B12</f>
        <v/>
      </c>
      <c r="D12" s="23">
        <f>IF(A12&gt;=Assumptions!B$15,C12*Assumptions!B$16/1000,0)</f>
        <v/>
      </c>
      <c r="E12" s="24">
        <f>D12*Assumptions!B$36</f>
        <v/>
      </c>
      <c r="F12" s="22">
        <f>IF(A12&gt;=Assumptions!B$19,Assumptions!B$20,0)</f>
        <v/>
      </c>
      <c r="G12" s="24">
        <f>F12*Assumptions!B$21*(1-Assumptions!B$22)</f>
        <v/>
      </c>
      <c r="H12" s="24">
        <f>IF(OR(A12=Assumptions!B$25,A12=Assumptions!B$26),Assumptions!B$27*Assumptions!B$28*(1-Assumptions!B$29),0)</f>
        <v/>
      </c>
      <c r="I12" s="24">
        <f>Assumptions!B$32</f>
        <v/>
      </c>
      <c r="J12" s="7">
        <f>E12+G12+H12-I12</f>
        <v/>
      </c>
      <c r="K12" s="24">
        <f>K11+J12</f>
        <v/>
      </c>
      <c r="L12" s="21">
        <f>IF(J12&gt;=1000,A12,"")</f>
        <v/>
      </c>
    </row>
    <row r="13">
      <c r="A13" s="21" t="n">
        <v>8</v>
      </c>
      <c r="B13" s="22">
        <f>Assumptions!B$6</f>
        <v/>
      </c>
      <c r="C13" s="22">
        <f>C12*(1-Assumptions!B$7)+B13</f>
        <v/>
      </c>
      <c r="D13" s="23">
        <f>IF(A13&gt;=Assumptions!B$15,C13*Assumptions!B$16/1000,0)</f>
        <v/>
      </c>
      <c r="E13" s="24">
        <f>D13*Assumptions!B$36</f>
        <v/>
      </c>
      <c r="F13" s="22">
        <f>IF(A13&gt;=Assumptions!B$19,Assumptions!B$20,0)</f>
        <v/>
      </c>
      <c r="G13" s="24">
        <f>F13*Assumptions!B$21*(1-Assumptions!B$22)</f>
        <v/>
      </c>
      <c r="H13" s="24">
        <f>IF(OR(A13=Assumptions!B$25,A13=Assumptions!B$26),Assumptions!B$27*Assumptions!B$28*(1-Assumptions!B$29),0)</f>
        <v/>
      </c>
      <c r="I13" s="24">
        <f>Assumptions!B$32</f>
        <v/>
      </c>
      <c r="J13" s="7">
        <f>E13+G13+H13-I13</f>
        <v/>
      </c>
      <c r="K13" s="24">
        <f>K12+J13</f>
        <v/>
      </c>
      <c r="L13" s="21">
        <f>IF(J13&gt;=1000,A13,"")</f>
        <v/>
      </c>
    </row>
    <row r="14">
      <c r="A14" s="21" t="n">
        <v>9</v>
      </c>
      <c r="B14" s="22">
        <f>Assumptions!B$6</f>
        <v/>
      </c>
      <c r="C14" s="22">
        <f>C13*(1-Assumptions!B$7)+B14</f>
        <v/>
      </c>
      <c r="D14" s="23">
        <f>IF(A14&gt;=Assumptions!B$15,C14*Assumptions!B$16/1000,0)</f>
        <v/>
      </c>
      <c r="E14" s="24">
        <f>D14*Assumptions!B$36</f>
        <v/>
      </c>
      <c r="F14" s="22">
        <f>IF(A14&gt;=Assumptions!B$19,Assumptions!B$20,0)</f>
        <v/>
      </c>
      <c r="G14" s="24">
        <f>F14*Assumptions!B$21*(1-Assumptions!B$22)</f>
        <v/>
      </c>
      <c r="H14" s="24">
        <f>IF(OR(A14=Assumptions!B$25,A14=Assumptions!B$26),Assumptions!B$27*Assumptions!B$28*(1-Assumptions!B$29),0)</f>
        <v/>
      </c>
      <c r="I14" s="24">
        <f>Assumptions!B$32</f>
        <v/>
      </c>
      <c r="J14" s="7">
        <f>E14+G14+H14-I14</f>
        <v/>
      </c>
      <c r="K14" s="24">
        <f>K13+J14</f>
        <v/>
      </c>
      <c r="L14" s="21">
        <f>IF(J14&gt;=1000,A14,"")</f>
        <v/>
      </c>
    </row>
    <row r="15">
      <c r="A15" s="21" t="n">
        <v>10</v>
      </c>
      <c r="B15" s="22">
        <f>Assumptions!B$6</f>
        <v/>
      </c>
      <c r="C15" s="22">
        <f>C14*(1-Assumptions!B$7)+B15</f>
        <v/>
      </c>
      <c r="D15" s="23">
        <f>IF(A15&gt;=Assumptions!B$15,C15*Assumptions!B$16/1000,0)</f>
        <v/>
      </c>
      <c r="E15" s="24">
        <f>D15*Assumptions!B$36</f>
        <v/>
      </c>
      <c r="F15" s="22">
        <f>IF(A15&gt;=Assumptions!B$19,Assumptions!B$20,0)</f>
        <v/>
      </c>
      <c r="G15" s="24">
        <f>F15*Assumptions!B$21*(1-Assumptions!B$22)</f>
        <v/>
      </c>
      <c r="H15" s="24">
        <f>IF(OR(A15=Assumptions!B$25,A15=Assumptions!B$26),Assumptions!B$27*Assumptions!B$28*(1-Assumptions!B$29),0)</f>
        <v/>
      </c>
      <c r="I15" s="24">
        <f>Assumptions!B$32</f>
        <v/>
      </c>
      <c r="J15" s="7">
        <f>E15+G15+H15-I15</f>
        <v/>
      </c>
      <c r="K15" s="24">
        <f>K14+J15</f>
        <v/>
      </c>
      <c r="L15" s="21">
        <f>IF(J15&gt;=1000,A15,"")</f>
        <v/>
      </c>
    </row>
    <row r="16">
      <c r="A16" s="21" t="n">
        <v>11</v>
      </c>
      <c r="B16" s="22">
        <f>Assumptions!B$6</f>
        <v/>
      </c>
      <c r="C16" s="22">
        <f>C15*(1-Assumptions!B$7)+B16</f>
        <v/>
      </c>
      <c r="D16" s="23">
        <f>IF(A16&gt;=Assumptions!B$15,C16*Assumptions!B$16/1000,0)</f>
        <v/>
      </c>
      <c r="E16" s="24">
        <f>D16*Assumptions!B$36</f>
        <v/>
      </c>
      <c r="F16" s="22">
        <f>IF(A16&gt;=Assumptions!B$19,Assumptions!B$20,0)</f>
        <v/>
      </c>
      <c r="G16" s="24">
        <f>F16*Assumptions!B$21*(1-Assumptions!B$22)</f>
        <v/>
      </c>
      <c r="H16" s="24">
        <f>IF(OR(A16=Assumptions!B$25,A16=Assumptions!B$26),Assumptions!B$27*Assumptions!B$28*(1-Assumptions!B$29),0)</f>
        <v/>
      </c>
      <c r="I16" s="24">
        <f>Assumptions!B$32</f>
        <v/>
      </c>
      <c r="J16" s="7">
        <f>E16+G16+H16-I16</f>
        <v/>
      </c>
      <c r="K16" s="24">
        <f>K15+J16</f>
        <v/>
      </c>
      <c r="L16" s="21">
        <f>IF(J16&gt;=1000,A16,"")</f>
        <v/>
      </c>
    </row>
    <row r="17">
      <c r="A17" s="21" t="n">
        <v>12</v>
      </c>
      <c r="B17" s="22">
        <f>Assumptions!B$6</f>
        <v/>
      </c>
      <c r="C17" s="22">
        <f>C16*(1-Assumptions!B$7)+B17</f>
        <v/>
      </c>
      <c r="D17" s="23">
        <f>IF(A17&gt;=Assumptions!B$15,C17*Assumptions!B$16/1000,0)</f>
        <v/>
      </c>
      <c r="E17" s="24">
        <f>D17*Assumptions!B$36</f>
        <v/>
      </c>
      <c r="F17" s="22">
        <f>IF(A17&gt;=Assumptions!B$19,Assumptions!B$20,0)</f>
        <v/>
      </c>
      <c r="G17" s="24">
        <f>F17*Assumptions!B$21*(1-Assumptions!B$22)</f>
        <v/>
      </c>
      <c r="H17" s="24">
        <f>IF(OR(A17=Assumptions!B$25,A17=Assumptions!B$26),Assumptions!B$27*Assumptions!B$28*(1-Assumptions!B$29),0)</f>
        <v/>
      </c>
      <c r="I17" s="24">
        <f>Assumptions!B$32</f>
        <v/>
      </c>
      <c r="J17" s="7">
        <f>E17+G17+H17-I17</f>
        <v/>
      </c>
      <c r="K17" s="24">
        <f>K16+J17</f>
        <v/>
      </c>
      <c r="L17" s="21">
        <f>IF(J17&gt;=1000,A17,"")</f>
        <v/>
      </c>
    </row>
    <row r="21">
      <c r="A21" s="11" t="inlineStr">
        <is>
          <t>MODERATE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20" t="inlineStr">
        <is>
          <t>Month</t>
        </is>
      </c>
      <c r="B22" s="20" t="inlineStr">
        <is>
          <t>New subs</t>
        </is>
      </c>
      <c r="C22" s="20" t="inlineStr">
        <is>
          <t>List size</t>
        </is>
      </c>
      <c r="D22" s="20" t="inlineStr">
        <is>
          <t>Guide sales</t>
        </is>
      </c>
      <c r="E22" s="20" t="inlineStr">
        <is>
          <t>Guide net $</t>
        </is>
      </c>
      <c r="F22" s="20" t="inlineStr">
        <is>
          <t>Paid sessions</t>
        </is>
      </c>
      <c r="G22" s="20" t="inlineStr">
        <is>
          <t>Session net $</t>
        </is>
      </c>
      <c r="H22" s="20" t="inlineStr">
        <is>
          <t>Cohort net $</t>
        </is>
      </c>
      <c r="I22" s="20" t="inlineStr">
        <is>
          <t>Costs $</t>
        </is>
      </c>
      <c r="J22" s="20" t="inlineStr">
        <is>
          <t>Total net $</t>
        </is>
      </c>
      <c r="K22" s="20" t="inlineStr">
        <is>
          <t>Cumulative $</t>
        </is>
      </c>
      <c r="L22" s="20" t="inlineStr">
        <is>
          <t>Month if net &gt;= $1,000</t>
        </is>
      </c>
    </row>
    <row r="23">
      <c r="A23" s="21" t="n">
        <v>1</v>
      </c>
      <c r="B23" s="22">
        <f>Assumptions!C$6</f>
        <v/>
      </c>
      <c r="C23" s="22">
        <f>B23</f>
        <v/>
      </c>
      <c r="D23" s="23">
        <f>IF(A23&gt;=Assumptions!C$15,C23*Assumptions!C$16/1000,0)</f>
        <v/>
      </c>
      <c r="E23" s="24">
        <f>D23*Assumptions!C$36</f>
        <v/>
      </c>
      <c r="F23" s="22">
        <f>IF(A23&gt;=Assumptions!C$19,Assumptions!C$20,0)</f>
        <v/>
      </c>
      <c r="G23" s="24">
        <f>F23*Assumptions!C$21*(1-Assumptions!C$22)</f>
        <v/>
      </c>
      <c r="H23" s="24">
        <f>IF(OR(A23=Assumptions!C$25,A23=Assumptions!C$26),Assumptions!C$27*Assumptions!C$28*(1-Assumptions!C$29),0)</f>
        <v/>
      </c>
      <c r="I23" s="24">
        <f>Assumptions!C$32</f>
        <v/>
      </c>
      <c r="J23" s="7">
        <f>E23+G23+H23-I23</f>
        <v/>
      </c>
      <c r="K23" s="24">
        <f>J23</f>
        <v/>
      </c>
      <c r="L23" s="21">
        <f>IF(J23&gt;=1000,A23,"")</f>
        <v/>
      </c>
    </row>
    <row r="24">
      <c r="A24" s="21" t="n">
        <v>2</v>
      </c>
      <c r="B24" s="22">
        <f>Assumptions!C$6</f>
        <v/>
      </c>
      <c r="C24" s="22">
        <f>C23*(1-Assumptions!C$7)+B24</f>
        <v/>
      </c>
      <c r="D24" s="23">
        <f>IF(A24&gt;=Assumptions!C$15,C24*Assumptions!C$16/1000,0)</f>
        <v/>
      </c>
      <c r="E24" s="24">
        <f>D24*Assumptions!C$36</f>
        <v/>
      </c>
      <c r="F24" s="22">
        <f>IF(A24&gt;=Assumptions!C$19,Assumptions!C$20,0)</f>
        <v/>
      </c>
      <c r="G24" s="24">
        <f>F24*Assumptions!C$21*(1-Assumptions!C$22)</f>
        <v/>
      </c>
      <c r="H24" s="24">
        <f>IF(OR(A24=Assumptions!C$25,A24=Assumptions!C$26),Assumptions!C$27*Assumptions!C$28*(1-Assumptions!C$29),0)</f>
        <v/>
      </c>
      <c r="I24" s="24">
        <f>Assumptions!C$32</f>
        <v/>
      </c>
      <c r="J24" s="7">
        <f>E24+G24+H24-I24</f>
        <v/>
      </c>
      <c r="K24" s="24">
        <f>K23+J24</f>
        <v/>
      </c>
      <c r="L24" s="21">
        <f>IF(J24&gt;=1000,A24,"")</f>
        <v/>
      </c>
    </row>
    <row r="25">
      <c r="A25" s="21" t="n">
        <v>3</v>
      </c>
      <c r="B25" s="22">
        <f>Assumptions!C$6</f>
        <v/>
      </c>
      <c r="C25" s="22">
        <f>C24*(1-Assumptions!C$7)+B25</f>
        <v/>
      </c>
      <c r="D25" s="23">
        <f>IF(A25&gt;=Assumptions!C$15,C25*Assumptions!C$16/1000,0)</f>
        <v/>
      </c>
      <c r="E25" s="24">
        <f>D25*Assumptions!C$36</f>
        <v/>
      </c>
      <c r="F25" s="22">
        <f>IF(A25&gt;=Assumptions!C$19,Assumptions!C$20,0)</f>
        <v/>
      </c>
      <c r="G25" s="24">
        <f>F25*Assumptions!C$21*(1-Assumptions!C$22)</f>
        <v/>
      </c>
      <c r="H25" s="24">
        <f>IF(OR(A25=Assumptions!C$25,A25=Assumptions!C$26),Assumptions!C$27*Assumptions!C$28*(1-Assumptions!C$29),0)</f>
        <v/>
      </c>
      <c r="I25" s="24">
        <f>Assumptions!C$32</f>
        <v/>
      </c>
      <c r="J25" s="7">
        <f>E25+G25+H25-I25</f>
        <v/>
      </c>
      <c r="K25" s="24">
        <f>K24+J25</f>
        <v/>
      </c>
      <c r="L25" s="21">
        <f>IF(J25&gt;=1000,A25,"")</f>
        <v/>
      </c>
    </row>
    <row r="26">
      <c r="A26" s="21" t="n">
        <v>4</v>
      </c>
      <c r="B26" s="22">
        <f>Assumptions!C$6</f>
        <v/>
      </c>
      <c r="C26" s="22">
        <f>C25*(1-Assumptions!C$7)+B26</f>
        <v/>
      </c>
      <c r="D26" s="23">
        <f>IF(A26&gt;=Assumptions!C$15,C26*Assumptions!C$16/1000,0)</f>
        <v/>
      </c>
      <c r="E26" s="24">
        <f>D26*Assumptions!C$36</f>
        <v/>
      </c>
      <c r="F26" s="22">
        <f>IF(A26&gt;=Assumptions!C$19,Assumptions!C$20,0)</f>
        <v/>
      </c>
      <c r="G26" s="24">
        <f>F26*Assumptions!C$21*(1-Assumptions!C$22)</f>
        <v/>
      </c>
      <c r="H26" s="24">
        <f>IF(OR(A26=Assumptions!C$25,A26=Assumptions!C$26),Assumptions!C$27*Assumptions!C$28*(1-Assumptions!C$29),0)</f>
        <v/>
      </c>
      <c r="I26" s="24">
        <f>Assumptions!C$32</f>
        <v/>
      </c>
      <c r="J26" s="7">
        <f>E26+G26+H26-I26</f>
        <v/>
      </c>
      <c r="K26" s="24">
        <f>K25+J26</f>
        <v/>
      </c>
      <c r="L26" s="21">
        <f>IF(J26&gt;=1000,A26,"")</f>
        <v/>
      </c>
    </row>
    <row r="27">
      <c r="A27" s="21" t="n">
        <v>5</v>
      </c>
      <c r="B27" s="22">
        <f>Assumptions!C$6</f>
        <v/>
      </c>
      <c r="C27" s="22">
        <f>C26*(1-Assumptions!C$7)+B27</f>
        <v/>
      </c>
      <c r="D27" s="23">
        <f>IF(A27&gt;=Assumptions!C$15,C27*Assumptions!C$16/1000,0)</f>
        <v/>
      </c>
      <c r="E27" s="24">
        <f>D27*Assumptions!C$36</f>
        <v/>
      </c>
      <c r="F27" s="22">
        <f>IF(A27&gt;=Assumptions!C$19,Assumptions!C$20,0)</f>
        <v/>
      </c>
      <c r="G27" s="24">
        <f>F27*Assumptions!C$21*(1-Assumptions!C$22)</f>
        <v/>
      </c>
      <c r="H27" s="24">
        <f>IF(OR(A27=Assumptions!C$25,A27=Assumptions!C$26),Assumptions!C$27*Assumptions!C$28*(1-Assumptions!C$29),0)</f>
        <v/>
      </c>
      <c r="I27" s="24">
        <f>Assumptions!C$32</f>
        <v/>
      </c>
      <c r="J27" s="7">
        <f>E27+G27+H27-I27</f>
        <v/>
      </c>
      <c r="K27" s="24">
        <f>K26+J27</f>
        <v/>
      </c>
      <c r="L27" s="21">
        <f>IF(J27&gt;=1000,A27,"")</f>
        <v/>
      </c>
    </row>
    <row r="28">
      <c r="A28" s="21" t="n">
        <v>6</v>
      </c>
      <c r="B28" s="22">
        <f>Assumptions!C$6</f>
        <v/>
      </c>
      <c r="C28" s="22">
        <f>C27*(1-Assumptions!C$7)+B28</f>
        <v/>
      </c>
      <c r="D28" s="23">
        <f>IF(A28&gt;=Assumptions!C$15,C28*Assumptions!C$16/1000,0)</f>
        <v/>
      </c>
      <c r="E28" s="24">
        <f>D28*Assumptions!C$36</f>
        <v/>
      </c>
      <c r="F28" s="22">
        <f>IF(A28&gt;=Assumptions!C$19,Assumptions!C$20,0)</f>
        <v/>
      </c>
      <c r="G28" s="24">
        <f>F28*Assumptions!C$21*(1-Assumptions!C$22)</f>
        <v/>
      </c>
      <c r="H28" s="24">
        <f>IF(OR(A28=Assumptions!C$25,A28=Assumptions!C$26),Assumptions!C$27*Assumptions!C$28*(1-Assumptions!C$29),0)</f>
        <v/>
      </c>
      <c r="I28" s="24">
        <f>Assumptions!C$32</f>
        <v/>
      </c>
      <c r="J28" s="7">
        <f>E28+G28+H28-I28</f>
        <v/>
      </c>
      <c r="K28" s="24">
        <f>K27+J28</f>
        <v/>
      </c>
      <c r="L28" s="21">
        <f>IF(J28&gt;=1000,A28,"")</f>
        <v/>
      </c>
    </row>
    <row r="29">
      <c r="A29" s="21" t="n">
        <v>7</v>
      </c>
      <c r="B29" s="22">
        <f>Assumptions!C$6</f>
        <v/>
      </c>
      <c r="C29" s="22">
        <f>C28*(1-Assumptions!C$7)+B29</f>
        <v/>
      </c>
      <c r="D29" s="23">
        <f>IF(A29&gt;=Assumptions!C$15,C29*Assumptions!C$16/1000,0)</f>
        <v/>
      </c>
      <c r="E29" s="24">
        <f>D29*Assumptions!C$36</f>
        <v/>
      </c>
      <c r="F29" s="22">
        <f>IF(A29&gt;=Assumptions!C$19,Assumptions!C$20,0)</f>
        <v/>
      </c>
      <c r="G29" s="24">
        <f>F29*Assumptions!C$21*(1-Assumptions!C$22)</f>
        <v/>
      </c>
      <c r="H29" s="24">
        <f>IF(OR(A29=Assumptions!C$25,A29=Assumptions!C$26),Assumptions!C$27*Assumptions!C$28*(1-Assumptions!C$29),0)</f>
        <v/>
      </c>
      <c r="I29" s="24">
        <f>Assumptions!C$32</f>
        <v/>
      </c>
      <c r="J29" s="7">
        <f>E29+G29+H29-I29</f>
        <v/>
      </c>
      <c r="K29" s="24">
        <f>K28+J29</f>
        <v/>
      </c>
      <c r="L29" s="21">
        <f>IF(J29&gt;=1000,A29,"")</f>
        <v/>
      </c>
    </row>
    <row r="30">
      <c r="A30" s="21" t="n">
        <v>8</v>
      </c>
      <c r="B30" s="22">
        <f>Assumptions!C$6</f>
        <v/>
      </c>
      <c r="C30" s="22">
        <f>C29*(1-Assumptions!C$7)+B30</f>
        <v/>
      </c>
      <c r="D30" s="23">
        <f>IF(A30&gt;=Assumptions!C$15,C30*Assumptions!C$16/1000,0)</f>
        <v/>
      </c>
      <c r="E30" s="24">
        <f>D30*Assumptions!C$36</f>
        <v/>
      </c>
      <c r="F30" s="22">
        <f>IF(A30&gt;=Assumptions!C$19,Assumptions!C$20,0)</f>
        <v/>
      </c>
      <c r="G30" s="24">
        <f>F30*Assumptions!C$21*(1-Assumptions!C$22)</f>
        <v/>
      </c>
      <c r="H30" s="24">
        <f>IF(OR(A30=Assumptions!C$25,A30=Assumptions!C$26),Assumptions!C$27*Assumptions!C$28*(1-Assumptions!C$29),0)</f>
        <v/>
      </c>
      <c r="I30" s="24">
        <f>Assumptions!C$32</f>
        <v/>
      </c>
      <c r="J30" s="7">
        <f>E30+G30+H30-I30</f>
        <v/>
      </c>
      <c r="K30" s="24">
        <f>K29+J30</f>
        <v/>
      </c>
      <c r="L30" s="21">
        <f>IF(J30&gt;=1000,A30,"")</f>
        <v/>
      </c>
    </row>
    <row r="31">
      <c r="A31" s="21" t="n">
        <v>9</v>
      </c>
      <c r="B31" s="22">
        <f>Assumptions!C$6</f>
        <v/>
      </c>
      <c r="C31" s="22">
        <f>C30*(1-Assumptions!C$7)+B31</f>
        <v/>
      </c>
      <c r="D31" s="23">
        <f>IF(A31&gt;=Assumptions!C$15,C31*Assumptions!C$16/1000,0)</f>
        <v/>
      </c>
      <c r="E31" s="24">
        <f>D31*Assumptions!C$36</f>
        <v/>
      </c>
      <c r="F31" s="22">
        <f>IF(A31&gt;=Assumptions!C$19,Assumptions!C$20,0)</f>
        <v/>
      </c>
      <c r="G31" s="24">
        <f>F31*Assumptions!C$21*(1-Assumptions!C$22)</f>
        <v/>
      </c>
      <c r="H31" s="24">
        <f>IF(OR(A31=Assumptions!C$25,A31=Assumptions!C$26),Assumptions!C$27*Assumptions!C$28*(1-Assumptions!C$29),0)</f>
        <v/>
      </c>
      <c r="I31" s="24">
        <f>Assumptions!C$32</f>
        <v/>
      </c>
      <c r="J31" s="7">
        <f>E31+G31+H31-I31</f>
        <v/>
      </c>
      <c r="K31" s="24">
        <f>K30+J31</f>
        <v/>
      </c>
      <c r="L31" s="21">
        <f>IF(J31&gt;=1000,A31,"")</f>
        <v/>
      </c>
    </row>
    <row r="32">
      <c r="A32" s="21" t="n">
        <v>10</v>
      </c>
      <c r="B32" s="22">
        <f>Assumptions!C$6</f>
        <v/>
      </c>
      <c r="C32" s="22">
        <f>C31*(1-Assumptions!C$7)+B32</f>
        <v/>
      </c>
      <c r="D32" s="23">
        <f>IF(A32&gt;=Assumptions!C$15,C32*Assumptions!C$16/1000,0)</f>
        <v/>
      </c>
      <c r="E32" s="24">
        <f>D32*Assumptions!C$36</f>
        <v/>
      </c>
      <c r="F32" s="22">
        <f>IF(A32&gt;=Assumptions!C$19,Assumptions!C$20,0)</f>
        <v/>
      </c>
      <c r="G32" s="24">
        <f>F32*Assumptions!C$21*(1-Assumptions!C$22)</f>
        <v/>
      </c>
      <c r="H32" s="24">
        <f>IF(OR(A32=Assumptions!C$25,A32=Assumptions!C$26),Assumptions!C$27*Assumptions!C$28*(1-Assumptions!C$29),0)</f>
        <v/>
      </c>
      <c r="I32" s="24">
        <f>Assumptions!C$32</f>
        <v/>
      </c>
      <c r="J32" s="7">
        <f>E32+G32+H32-I32</f>
        <v/>
      </c>
      <c r="K32" s="24">
        <f>K31+J32</f>
        <v/>
      </c>
      <c r="L32" s="21">
        <f>IF(J32&gt;=1000,A32,"")</f>
        <v/>
      </c>
    </row>
    <row r="33">
      <c r="A33" s="21" t="n">
        <v>11</v>
      </c>
      <c r="B33" s="22">
        <f>Assumptions!C$6</f>
        <v/>
      </c>
      <c r="C33" s="22">
        <f>C32*(1-Assumptions!C$7)+B33</f>
        <v/>
      </c>
      <c r="D33" s="23">
        <f>IF(A33&gt;=Assumptions!C$15,C33*Assumptions!C$16/1000,0)</f>
        <v/>
      </c>
      <c r="E33" s="24">
        <f>D33*Assumptions!C$36</f>
        <v/>
      </c>
      <c r="F33" s="22">
        <f>IF(A33&gt;=Assumptions!C$19,Assumptions!C$20,0)</f>
        <v/>
      </c>
      <c r="G33" s="24">
        <f>F33*Assumptions!C$21*(1-Assumptions!C$22)</f>
        <v/>
      </c>
      <c r="H33" s="24">
        <f>IF(OR(A33=Assumptions!C$25,A33=Assumptions!C$26),Assumptions!C$27*Assumptions!C$28*(1-Assumptions!C$29),0)</f>
        <v/>
      </c>
      <c r="I33" s="24">
        <f>Assumptions!C$32</f>
        <v/>
      </c>
      <c r="J33" s="7">
        <f>E33+G33+H33-I33</f>
        <v/>
      </c>
      <c r="K33" s="24">
        <f>K32+J33</f>
        <v/>
      </c>
      <c r="L33" s="21">
        <f>IF(J33&gt;=1000,A33,"")</f>
        <v/>
      </c>
    </row>
    <row r="34">
      <c r="A34" s="21" t="n">
        <v>12</v>
      </c>
      <c r="B34" s="22">
        <f>Assumptions!C$6</f>
        <v/>
      </c>
      <c r="C34" s="22">
        <f>C33*(1-Assumptions!C$7)+B34</f>
        <v/>
      </c>
      <c r="D34" s="23">
        <f>IF(A34&gt;=Assumptions!C$15,C34*Assumptions!C$16/1000,0)</f>
        <v/>
      </c>
      <c r="E34" s="24">
        <f>D34*Assumptions!C$36</f>
        <v/>
      </c>
      <c r="F34" s="22">
        <f>IF(A34&gt;=Assumptions!C$19,Assumptions!C$20,0)</f>
        <v/>
      </c>
      <c r="G34" s="24">
        <f>F34*Assumptions!C$21*(1-Assumptions!C$22)</f>
        <v/>
      </c>
      <c r="H34" s="24">
        <f>IF(OR(A34=Assumptions!C$25,A34=Assumptions!C$26),Assumptions!C$27*Assumptions!C$28*(1-Assumptions!C$29),0)</f>
        <v/>
      </c>
      <c r="I34" s="24">
        <f>Assumptions!C$32</f>
        <v/>
      </c>
      <c r="J34" s="7">
        <f>E34+G34+H34-I34</f>
        <v/>
      </c>
      <c r="K34" s="24">
        <f>K33+J34</f>
        <v/>
      </c>
      <c r="L34" s="21">
        <f>IF(J34&gt;=1000,A34,"")</f>
        <v/>
      </c>
    </row>
    <row r="38">
      <c r="A38" s="11" t="inlineStr">
        <is>
          <t>STRONG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20" t="inlineStr">
        <is>
          <t>Month</t>
        </is>
      </c>
      <c r="B39" s="20" t="inlineStr">
        <is>
          <t>New subs</t>
        </is>
      </c>
      <c r="C39" s="20" t="inlineStr">
        <is>
          <t>List size</t>
        </is>
      </c>
      <c r="D39" s="20" t="inlineStr">
        <is>
          <t>Guide sales</t>
        </is>
      </c>
      <c r="E39" s="20" t="inlineStr">
        <is>
          <t>Guide net $</t>
        </is>
      </c>
      <c r="F39" s="20" t="inlineStr">
        <is>
          <t>Paid sessions</t>
        </is>
      </c>
      <c r="G39" s="20" t="inlineStr">
        <is>
          <t>Session net $</t>
        </is>
      </c>
      <c r="H39" s="20" t="inlineStr">
        <is>
          <t>Cohort net $</t>
        </is>
      </c>
      <c r="I39" s="20" t="inlineStr">
        <is>
          <t>Costs $</t>
        </is>
      </c>
      <c r="J39" s="20" t="inlineStr">
        <is>
          <t>Total net $</t>
        </is>
      </c>
      <c r="K39" s="20" t="inlineStr">
        <is>
          <t>Cumulative $</t>
        </is>
      </c>
      <c r="L39" s="20" t="inlineStr">
        <is>
          <t>Month if net &gt;= $1,000</t>
        </is>
      </c>
    </row>
    <row r="40">
      <c r="A40" s="21" t="n">
        <v>1</v>
      </c>
      <c r="B40" s="22">
        <f>Assumptions!D$6</f>
        <v/>
      </c>
      <c r="C40" s="22">
        <f>B40</f>
        <v/>
      </c>
      <c r="D40" s="23">
        <f>IF(A40&gt;=Assumptions!D$15,C40*Assumptions!D$16/1000,0)</f>
        <v/>
      </c>
      <c r="E40" s="24">
        <f>D40*Assumptions!D$36</f>
        <v/>
      </c>
      <c r="F40" s="22">
        <f>IF(A40&gt;=Assumptions!D$19,Assumptions!D$20,0)</f>
        <v/>
      </c>
      <c r="G40" s="24">
        <f>F40*Assumptions!D$21*(1-Assumptions!D$22)</f>
        <v/>
      </c>
      <c r="H40" s="24">
        <f>IF(OR(A40=Assumptions!D$25,A40=Assumptions!D$26),Assumptions!D$27*Assumptions!D$28*(1-Assumptions!D$29),0)</f>
        <v/>
      </c>
      <c r="I40" s="24">
        <f>Assumptions!D$32</f>
        <v/>
      </c>
      <c r="J40" s="7">
        <f>E40+G40+H40-I40</f>
        <v/>
      </c>
      <c r="K40" s="24">
        <f>J40</f>
        <v/>
      </c>
      <c r="L40" s="21">
        <f>IF(J40&gt;=1000,A40,"")</f>
        <v/>
      </c>
    </row>
    <row r="41">
      <c r="A41" s="21" t="n">
        <v>2</v>
      </c>
      <c r="B41" s="22">
        <f>Assumptions!D$6</f>
        <v/>
      </c>
      <c r="C41" s="22">
        <f>C40*(1-Assumptions!D$7)+B41</f>
        <v/>
      </c>
      <c r="D41" s="23">
        <f>IF(A41&gt;=Assumptions!D$15,C41*Assumptions!D$16/1000,0)</f>
        <v/>
      </c>
      <c r="E41" s="24">
        <f>D41*Assumptions!D$36</f>
        <v/>
      </c>
      <c r="F41" s="22">
        <f>IF(A41&gt;=Assumptions!D$19,Assumptions!D$20,0)</f>
        <v/>
      </c>
      <c r="G41" s="24">
        <f>F41*Assumptions!D$21*(1-Assumptions!D$22)</f>
        <v/>
      </c>
      <c r="H41" s="24">
        <f>IF(OR(A41=Assumptions!D$25,A41=Assumptions!D$26),Assumptions!D$27*Assumptions!D$28*(1-Assumptions!D$29),0)</f>
        <v/>
      </c>
      <c r="I41" s="24">
        <f>Assumptions!D$32</f>
        <v/>
      </c>
      <c r="J41" s="7">
        <f>E41+G41+H41-I41</f>
        <v/>
      </c>
      <c r="K41" s="24">
        <f>K40+J41</f>
        <v/>
      </c>
      <c r="L41" s="21">
        <f>IF(J41&gt;=1000,A41,"")</f>
        <v/>
      </c>
    </row>
    <row r="42">
      <c r="A42" s="21" t="n">
        <v>3</v>
      </c>
      <c r="B42" s="22">
        <f>Assumptions!D$6</f>
        <v/>
      </c>
      <c r="C42" s="22">
        <f>C41*(1-Assumptions!D$7)+B42</f>
        <v/>
      </c>
      <c r="D42" s="23">
        <f>IF(A42&gt;=Assumptions!D$15,C42*Assumptions!D$16/1000,0)</f>
        <v/>
      </c>
      <c r="E42" s="24">
        <f>D42*Assumptions!D$36</f>
        <v/>
      </c>
      <c r="F42" s="22">
        <f>IF(A42&gt;=Assumptions!D$19,Assumptions!D$20,0)</f>
        <v/>
      </c>
      <c r="G42" s="24">
        <f>F42*Assumptions!D$21*(1-Assumptions!D$22)</f>
        <v/>
      </c>
      <c r="H42" s="24">
        <f>IF(OR(A42=Assumptions!D$25,A42=Assumptions!D$26),Assumptions!D$27*Assumptions!D$28*(1-Assumptions!D$29),0)</f>
        <v/>
      </c>
      <c r="I42" s="24">
        <f>Assumptions!D$32</f>
        <v/>
      </c>
      <c r="J42" s="7">
        <f>E42+G42+H42-I42</f>
        <v/>
      </c>
      <c r="K42" s="24">
        <f>K41+J42</f>
        <v/>
      </c>
      <c r="L42" s="21">
        <f>IF(J42&gt;=1000,A42,"")</f>
        <v/>
      </c>
    </row>
    <row r="43">
      <c r="A43" s="21" t="n">
        <v>4</v>
      </c>
      <c r="B43" s="22">
        <f>Assumptions!D$6</f>
        <v/>
      </c>
      <c r="C43" s="22">
        <f>C42*(1-Assumptions!D$7)+B43</f>
        <v/>
      </c>
      <c r="D43" s="23">
        <f>IF(A43&gt;=Assumptions!D$15,C43*Assumptions!D$16/1000,0)</f>
        <v/>
      </c>
      <c r="E43" s="24">
        <f>D43*Assumptions!D$36</f>
        <v/>
      </c>
      <c r="F43" s="22">
        <f>IF(A43&gt;=Assumptions!D$19,Assumptions!D$20,0)</f>
        <v/>
      </c>
      <c r="G43" s="24">
        <f>F43*Assumptions!D$21*(1-Assumptions!D$22)</f>
        <v/>
      </c>
      <c r="H43" s="24">
        <f>IF(OR(A43=Assumptions!D$25,A43=Assumptions!D$26),Assumptions!D$27*Assumptions!D$28*(1-Assumptions!D$29),0)</f>
        <v/>
      </c>
      <c r="I43" s="24">
        <f>Assumptions!D$32</f>
        <v/>
      </c>
      <c r="J43" s="7">
        <f>E43+G43+H43-I43</f>
        <v/>
      </c>
      <c r="K43" s="24">
        <f>K42+J43</f>
        <v/>
      </c>
      <c r="L43" s="21">
        <f>IF(J43&gt;=1000,A43,"")</f>
        <v/>
      </c>
    </row>
    <row r="44">
      <c r="A44" s="21" t="n">
        <v>5</v>
      </c>
      <c r="B44" s="22">
        <f>Assumptions!D$6</f>
        <v/>
      </c>
      <c r="C44" s="22">
        <f>C43*(1-Assumptions!D$7)+B44</f>
        <v/>
      </c>
      <c r="D44" s="23">
        <f>IF(A44&gt;=Assumptions!D$15,C44*Assumptions!D$16/1000,0)</f>
        <v/>
      </c>
      <c r="E44" s="24">
        <f>D44*Assumptions!D$36</f>
        <v/>
      </c>
      <c r="F44" s="22">
        <f>IF(A44&gt;=Assumptions!D$19,Assumptions!D$20,0)</f>
        <v/>
      </c>
      <c r="G44" s="24">
        <f>F44*Assumptions!D$21*(1-Assumptions!D$22)</f>
        <v/>
      </c>
      <c r="H44" s="24">
        <f>IF(OR(A44=Assumptions!D$25,A44=Assumptions!D$26),Assumptions!D$27*Assumptions!D$28*(1-Assumptions!D$29),0)</f>
        <v/>
      </c>
      <c r="I44" s="24">
        <f>Assumptions!D$32</f>
        <v/>
      </c>
      <c r="J44" s="7">
        <f>E44+G44+H44-I44</f>
        <v/>
      </c>
      <c r="K44" s="24">
        <f>K43+J44</f>
        <v/>
      </c>
      <c r="L44" s="21">
        <f>IF(J44&gt;=1000,A44,"")</f>
        <v/>
      </c>
    </row>
    <row r="45">
      <c r="A45" s="21" t="n">
        <v>6</v>
      </c>
      <c r="B45" s="22">
        <f>Assumptions!D$6</f>
        <v/>
      </c>
      <c r="C45" s="22">
        <f>C44*(1-Assumptions!D$7)+B45</f>
        <v/>
      </c>
      <c r="D45" s="23">
        <f>IF(A45&gt;=Assumptions!D$15,C45*Assumptions!D$16/1000,0)</f>
        <v/>
      </c>
      <c r="E45" s="24">
        <f>D45*Assumptions!D$36</f>
        <v/>
      </c>
      <c r="F45" s="22">
        <f>IF(A45&gt;=Assumptions!D$19,Assumptions!D$20,0)</f>
        <v/>
      </c>
      <c r="G45" s="24">
        <f>F45*Assumptions!D$21*(1-Assumptions!D$22)</f>
        <v/>
      </c>
      <c r="H45" s="24">
        <f>IF(OR(A45=Assumptions!D$25,A45=Assumptions!D$26),Assumptions!D$27*Assumptions!D$28*(1-Assumptions!D$29),0)</f>
        <v/>
      </c>
      <c r="I45" s="24">
        <f>Assumptions!D$32</f>
        <v/>
      </c>
      <c r="J45" s="7">
        <f>E45+G45+H45-I45</f>
        <v/>
      </c>
      <c r="K45" s="24">
        <f>K44+J45</f>
        <v/>
      </c>
      <c r="L45" s="21">
        <f>IF(J45&gt;=1000,A45,"")</f>
        <v/>
      </c>
    </row>
    <row r="46">
      <c r="A46" s="21" t="n">
        <v>7</v>
      </c>
      <c r="B46" s="22">
        <f>Assumptions!D$6</f>
        <v/>
      </c>
      <c r="C46" s="22">
        <f>C45*(1-Assumptions!D$7)+B46</f>
        <v/>
      </c>
      <c r="D46" s="23">
        <f>IF(A46&gt;=Assumptions!D$15,C46*Assumptions!D$16/1000,0)</f>
        <v/>
      </c>
      <c r="E46" s="24">
        <f>D46*Assumptions!D$36</f>
        <v/>
      </c>
      <c r="F46" s="22">
        <f>IF(A46&gt;=Assumptions!D$19,Assumptions!D$20,0)</f>
        <v/>
      </c>
      <c r="G46" s="24">
        <f>F46*Assumptions!D$21*(1-Assumptions!D$22)</f>
        <v/>
      </c>
      <c r="H46" s="24">
        <f>IF(OR(A46=Assumptions!D$25,A46=Assumptions!D$26),Assumptions!D$27*Assumptions!D$28*(1-Assumptions!D$29),0)</f>
        <v/>
      </c>
      <c r="I46" s="24">
        <f>Assumptions!D$32</f>
        <v/>
      </c>
      <c r="J46" s="7">
        <f>E46+G46+H46-I46</f>
        <v/>
      </c>
      <c r="K46" s="24">
        <f>K45+J46</f>
        <v/>
      </c>
      <c r="L46" s="21">
        <f>IF(J46&gt;=1000,A46,"")</f>
        <v/>
      </c>
    </row>
    <row r="47">
      <c r="A47" s="21" t="n">
        <v>8</v>
      </c>
      <c r="B47" s="22">
        <f>Assumptions!D$6</f>
        <v/>
      </c>
      <c r="C47" s="22">
        <f>C46*(1-Assumptions!D$7)+B47</f>
        <v/>
      </c>
      <c r="D47" s="23">
        <f>IF(A47&gt;=Assumptions!D$15,C47*Assumptions!D$16/1000,0)</f>
        <v/>
      </c>
      <c r="E47" s="24">
        <f>D47*Assumptions!D$36</f>
        <v/>
      </c>
      <c r="F47" s="22">
        <f>IF(A47&gt;=Assumptions!D$19,Assumptions!D$20,0)</f>
        <v/>
      </c>
      <c r="G47" s="24">
        <f>F47*Assumptions!D$21*(1-Assumptions!D$22)</f>
        <v/>
      </c>
      <c r="H47" s="24">
        <f>IF(OR(A47=Assumptions!D$25,A47=Assumptions!D$26),Assumptions!D$27*Assumptions!D$28*(1-Assumptions!D$29),0)</f>
        <v/>
      </c>
      <c r="I47" s="24">
        <f>Assumptions!D$32</f>
        <v/>
      </c>
      <c r="J47" s="7">
        <f>E47+G47+H47-I47</f>
        <v/>
      </c>
      <c r="K47" s="24">
        <f>K46+J47</f>
        <v/>
      </c>
      <c r="L47" s="21">
        <f>IF(J47&gt;=1000,A47,"")</f>
        <v/>
      </c>
    </row>
    <row r="48">
      <c r="A48" s="21" t="n">
        <v>9</v>
      </c>
      <c r="B48" s="22">
        <f>Assumptions!D$6</f>
        <v/>
      </c>
      <c r="C48" s="22">
        <f>C47*(1-Assumptions!D$7)+B48</f>
        <v/>
      </c>
      <c r="D48" s="23">
        <f>IF(A48&gt;=Assumptions!D$15,C48*Assumptions!D$16/1000,0)</f>
        <v/>
      </c>
      <c r="E48" s="24">
        <f>D48*Assumptions!D$36</f>
        <v/>
      </c>
      <c r="F48" s="22">
        <f>IF(A48&gt;=Assumptions!D$19,Assumptions!D$20,0)</f>
        <v/>
      </c>
      <c r="G48" s="24">
        <f>F48*Assumptions!D$21*(1-Assumptions!D$22)</f>
        <v/>
      </c>
      <c r="H48" s="24">
        <f>IF(OR(A48=Assumptions!D$25,A48=Assumptions!D$26),Assumptions!D$27*Assumptions!D$28*(1-Assumptions!D$29),0)</f>
        <v/>
      </c>
      <c r="I48" s="24">
        <f>Assumptions!D$32</f>
        <v/>
      </c>
      <c r="J48" s="7">
        <f>E48+G48+H48-I48</f>
        <v/>
      </c>
      <c r="K48" s="24">
        <f>K47+J48</f>
        <v/>
      </c>
      <c r="L48" s="21">
        <f>IF(J48&gt;=1000,A48,"")</f>
        <v/>
      </c>
    </row>
    <row r="49">
      <c r="A49" s="21" t="n">
        <v>10</v>
      </c>
      <c r="B49" s="22">
        <f>Assumptions!D$6</f>
        <v/>
      </c>
      <c r="C49" s="22">
        <f>C48*(1-Assumptions!D$7)+B49</f>
        <v/>
      </c>
      <c r="D49" s="23">
        <f>IF(A49&gt;=Assumptions!D$15,C49*Assumptions!D$16/1000,0)</f>
        <v/>
      </c>
      <c r="E49" s="24">
        <f>D49*Assumptions!D$36</f>
        <v/>
      </c>
      <c r="F49" s="22">
        <f>IF(A49&gt;=Assumptions!D$19,Assumptions!D$20,0)</f>
        <v/>
      </c>
      <c r="G49" s="24">
        <f>F49*Assumptions!D$21*(1-Assumptions!D$22)</f>
        <v/>
      </c>
      <c r="H49" s="24">
        <f>IF(OR(A49=Assumptions!D$25,A49=Assumptions!D$26),Assumptions!D$27*Assumptions!D$28*(1-Assumptions!D$29),0)</f>
        <v/>
      </c>
      <c r="I49" s="24">
        <f>Assumptions!D$32</f>
        <v/>
      </c>
      <c r="J49" s="7">
        <f>E49+G49+H49-I49</f>
        <v/>
      </c>
      <c r="K49" s="24">
        <f>K48+J49</f>
        <v/>
      </c>
      <c r="L49" s="21">
        <f>IF(J49&gt;=1000,A49,"")</f>
        <v/>
      </c>
    </row>
    <row r="50">
      <c r="A50" s="21" t="n">
        <v>11</v>
      </c>
      <c r="B50" s="22">
        <f>Assumptions!D$6</f>
        <v/>
      </c>
      <c r="C50" s="22">
        <f>C49*(1-Assumptions!D$7)+B50</f>
        <v/>
      </c>
      <c r="D50" s="23">
        <f>IF(A50&gt;=Assumptions!D$15,C50*Assumptions!D$16/1000,0)</f>
        <v/>
      </c>
      <c r="E50" s="24">
        <f>D50*Assumptions!D$36</f>
        <v/>
      </c>
      <c r="F50" s="22">
        <f>IF(A50&gt;=Assumptions!D$19,Assumptions!D$20,0)</f>
        <v/>
      </c>
      <c r="G50" s="24">
        <f>F50*Assumptions!D$21*(1-Assumptions!D$22)</f>
        <v/>
      </c>
      <c r="H50" s="24">
        <f>IF(OR(A50=Assumptions!D$25,A50=Assumptions!D$26),Assumptions!D$27*Assumptions!D$28*(1-Assumptions!D$29),0)</f>
        <v/>
      </c>
      <c r="I50" s="24">
        <f>Assumptions!D$32</f>
        <v/>
      </c>
      <c r="J50" s="7">
        <f>E50+G50+H50-I50</f>
        <v/>
      </c>
      <c r="K50" s="24">
        <f>K49+J50</f>
        <v/>
      </c>
      <c r="L50" s="21">
        <f>IF(J50&gt;=1000,A50,"")</f>
        <v/>
      </c>
    </row>
    <row r="51">
      <c r="A51" s="21" t="n">
        <v>12</v>
      </c>
      <c r="B51" s="22">
        <f>Assumptions!D$6</f>
        <v/>
      </c>
      <c r="C51" s="22">
        <f>C50*(1-Assumptions!D$7)+B51</f>
        <v/>
      </c>
      <c r="D51" s="23">
        <f>IF(A51&gt;=Assumptions!D$15,C51*Assumptions!D$16/1000,0)</f>
        <v/>
      </c>
      <c r="E51" s="24">
        <f>D51*Assumptions!D$36</f>
        <v/>
      </c>
      <c r="F51" s="22">
        <f>IF(A51&gt;=Assumptions!D$19,Assumptions!D$20,0)</f>
        <v/>
      </c>
      <c r="G51" s="24">
        <f>F51*Assumptions!D$21*(1-Assumptions!D$22)</f>
        <v/>
      </c>
      <c r="H51" s="24">
        <f>IF(OR(A51=Assumptions!D$25,A51=Assumptions!D$26),Assumptions!D$27*Assumptions!D$28*(1-Assumptions!D$29),0)</f>
        <v/>
      </c>
      <c r="I51" s="24">
        <f>Assumptions!D$32</f>
        <v/>
      </c>
      <c r="J51" s="7">
        <f>E51+G51+H51-I51</f>
        <v/>
      </c>
      <c r="K51" s="24">
        <f>K50+J51</f>
        <v/>
      </c>
      <c r="L51" s="21">
        <f>IF(J51&gt;=1000,A51,"")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Notes and sources</t>
        </is>
      </c>
    </row>
    <row r="3">
      <c r="A3" s="4" t="inlineStr">
        <is>
          <t>Every input is an assumption by the author of this model, chosen to match the earlier rough range (under $500 a month for 6 months is most likely). None is measured.</t>
        </is>
      </c>
    </row>
    <row r="4">
      <c r="A4" s="4" t="inlineStr">
        <is>
          <t>Fee numbers (Payhip 5%, card 2.9% + $0.30) come from third-party sources and need checking on the vendors' own pages.</t>
        </is>
      </c>
    </row>
    <row r="5">
      <c r="A5" s="4" t="inlineStr">
        <is>
          <t>Prices ($19 guide, $75-125 sessions, $149-249 cohort) are hypotheses to test with real families.</t>
        </is>
      </c>
    </row>
    <row r="6">
      <c r="A6" s="4" t="inlineStr">
        <is>
          <t>Free chats are assumed to earn nothing; the model charges only from the 'first month you charge'.</t>
        </is>
      </c>
    </row>
    <row r="7">
      <c r="A7" s="4" t="inlineStr">
        <is>
          <t>No data on conversion for homeschool products was found; 1-5% of the list buying per month is a guess.</t>
        </is>
      </c>
    </row>
    <row r="8">
      <c r="A8" s="4" t="inlineStr">
        <is>
          <t>To use: change values on Assumptions (blue on yellow). Summary and Projection update.</t>
        </is>
      </c>
    </row>
    <row r="9">
      <c r="A9" s="4" t="inlineStr">
        <is>
          <t>Not financial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2026-10-15T17:33:11Z</dcterms:created>
  <dcterms:modified xsi:type="dcterms:W3CDTF">2026-10-15T17:33:11Z</dcterms:modified>
</cp:coreProperties>
</file>